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Work\Norovirus\"/>
    </mc:Choice>
  </mc:AlternateContent>
  <xr:revisionPtr revIDLastSave="0" documentId="13_ncr:1_{09773FF0-DA00-48E2-B597-A5CDC186AA64}" xr6:coauthVersionLast="47" xr6:coauthVersionMax="47" xr10:uidLastSave="{00000000-0000-0000-0000-000000000000}"/>
  <bookViews>
    <workbookView xWindow="-120" yWindow="-120" windowWidth="29040" windowHeight="15720" tabRatio="572" activeTab="1" xr2:uid="{3E09CA0F-158B-4056-86C3-53268A872915}"/>
  </bookViews>
  <sheets>
    <sheet name="Tested-Included" sheetId="1" r:id="rId1"/>
    <sheet name="NOR-202 Data" sheetId="2" r:id="rId2"/>
    <sheet name="Sheet3" sheetId="4" r:id="rId3"/>
    <sheet name="NOR-215 Data" sheetId="3" r:id="rId4"/>
  </sheets>
  <definedNames>
    <definedName name="_xlnm._FilterDatabase" localSheetId="1" hidden="1">'NOR-202 Data'!$A$1:$T$326</definedName>
    <definedName name="_xlnm._FilterDatabase" localSheetId="3" hidden="1">'NOR-215 Data'!$A$1:$P$78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F2" i="4"/>
  <c r="E2" i="4"/>
</calcChain>
</file>

<file path=xl/sharedStrings.xml><?xml version="1.0" encoding="utf-8"?>
<sst xmlns="http://schemas.openxmlformats.org/spreadsheetml/2006/main" count="2391" uniqueCount="186">
  <si>
    <t>10180-4002</t>
  </si>
  <si>
    <t>10180-4003</t>
  </si>
  <si>
    <t>10180-4004</t>
  </si>
  <si>
    <t>10180-4006</t>
  </si>
  <si>
    <t>10180-4007</t>
  </si>
  <si>
    <t>10180-4008</t>
  </si>
  <si>
    <t>10180-4009</t>
  </si>
  <si>
    <t>10180-4010</t>
  </si>
  <si>
    <t>10180-4011</t>
  </si>
  <si>
    <t>10180-4012</t>
  </si>
  <si>
    <t>10180-4013</t>
  </si>
  <si>
    <t>10180-4014</t>
  </si>
  <si>
    <t>10180-4015</t>
  </si>
  <si>
    <t>10180-4016</t>
  </si>
  <si>
    <t>10180-4017</t>
  </si>
  <si>
    <t>10180-4018</t>
  </si>
  <si>
    <t>10180-4019</t>
  </si>
  <si>
    <t>10180-4020</t>
  </si>
  <si>
    <t>10180-4021</t>
  </si>
  <si>
    <t>10180-4022</t>
  </si>
  <si>
    <t>10180-4023</t>
  </si>
  <si>
    <t>10180-4024</t>
  </si>
  <si>
    <t>10180-4026</t>
  </si>
  <si>
    <t>10180-4027</t>
  </si>
  <si>
    <t>10180-4028</t>
  </si>
  <si>
    <t>10180-4029</t>
  </si>
  <si>
    <t>10180-4030</t>
  </si>
  <si>
    <t>10180-4031</t>
  </si>
  <si>
    <t>10180-4032</t>
  </si>
  <si>
    <t>10180-4033</t>
  </si>
  <si>
    <t>10180-4034</t>
  </si>
  <si>
    <t>10180-4035</t>
  </si>
  <si>
    <t>10180-4036</t>
  </si>
  <si>
    <t>10180-4037</t>
  </si>
  <si>
    <t>10180-4038</t>
  </si>
  <si>
    <t>10180-4039</t>
  </si>
  <si>
    <t>10180-4040</t>
  </si>
  <si>
    <t>10180-4041</t>
  </si>
  <si>
    <t>10180-4042</t>
  </si>
  <si>
    <t>10190-4001</t>
  </si>
  <si>
    <t>10190-4002</t>
  </si>
  <si>
    <t>10190-4003</t>
  </si>
  <si>
    <t>10190-4004</t>
  </si>
  <si>
    <t>10190-4005</t>
  </si>
  <si>
    <t>10190-4006</t>
  </si>
  <si>
    <t>10190-4008</t>
  </si>
  <si>
    <t>10190-4009</t>
  </si>
  <si>
    <t>10190-4010</t>
  </si>
  <si>
    <t>10190-4012</t>
  </si>
  <si>
    <t>10190-4013</t>
  </si>
  <si>
    <t>10190-4014</t>
  </si>
  <si>
    <t>10190-4015</t>
  </si>
  <si>
    <t>10190-4017</t>
  </si>
  <si>
    <t>10190-4018</t>
  </si>
  <si>
    <t>10190-4019</t>
  </si>
  <si>
    <t>10190-4020</t>
  </si>
  <si>
    <t>10190-4021</t>
  </si>
  <si>
    <t>10190-4022</t>
  </si>
  <si>
    <t>10190-4023</t>
  </si>
  <si>
    <t>10190-4026</t>
  </si>
  <si>
    <t>10190-4027</t>
  </si>
  <si>
    <t>10190-4028</t>
  </si>
  <si>
    <t>10190-4029</t>
  </si>
  <si>
    <t>10190-4030</t>
  </si>
  <si>
    <t>10190-4031</t>
  </si>
  <si>
    <t>10190-4032</t>
  </si>
  <si>
    <t>10190-4033</t>
  </si>
  <si>
    <t>10190-4034</t>
  </si>
  <si>
    <t>10190-4036</t>
  </si>
  <si>
    <t>10190-4038</t>
  </si>
  <si>
    <t>10190-4039</t>
  </si>
  <si>
    <t>10190-4040</t>
  </si>
  <si>
    <t>10190-4041</t>
  </si>
  <si>
    <t>10190-4043</t>
  </si>
  <si>
    <t>10190-4044</t>
  </si>
  <si>
    <t>10190-4045</t>
  </si>
  <si>
    <t>10190-4047</t>
  </si>
  <si>
    <t>Day</t>
  </si>
  <si>
    <t xml:space="preserve">Subject </t>
  </si>
  <si>
    <t>UNC-ID</t>
  </si>
  <si>
    <t>GII.4c ID50</t>
  </si>
  <si>
    <t>GII.4 SY ID50</t>
  </si>
  <si>
    <t>GII.4 WI ID50</t>
  </si>
  <si>
    <t>GII.4 AL ID50</t>
  </si>
  <si>
    <t>GII.4 SF ID50</t>
  </si>
  <si>
    <t>Actual_Treatment_for_Period_01</t>
  </si>
  <si>
    <t>Age in Years</t>
  </si>
  <si>
    <t>Country</t>
  </si>
  <si>
    <t>Day 1</t>
  </si>
  <si>
    <t>2 Dose GI.1/GII.4 (15/50) - Cohort 1</t>
  </si>
  <si>
    <t>Panama</t>
  </si>
  <si>
    <t>2 Dose GI.1/GII.4 (50/50) - Cohort 1</t>
  </si>
  <si>
    <t>1 Dose GI.1/GII.4 (15/50) - Cohort 1</t>
  </si>
  <si>
    <t xml:space="preserve"> </t>
  </si>
  <si>
    <t>1 Dose GI.1/GII.4 (50/50) - Cohort 1</t>
  </si>
  <si>
    <t>1 Dose GI.1/GII.4 (50/150) - Cohort</t>
  </si>
  <si>
    <t>2 Dose GI.1/GII.4 (50/150) - Cohort</t>
  </si>
  <si>
    <t>2 Dose GI.1/GII.4 (50/50) - Cohort 2</t>
  </si>
  <si>
    <t>2 Dose GI.1/GII.4 (15/50) - Cohort 2</t>
  </si>
  <si>
    <t>Colombia</t>
  </si>
  <si>
    <t>Screen ID</t>
  </si>
  <si>
    <t>Birth Year</t>
  </si>
  <si>
    <t>Age in Years (at enrolment)</t>
  </si>
  <si>
    <t>UNC
ID</t>
  </si>
  <si>
    <t>GII.4c</t>
  </si>
  <si>
    <t>FC</t>
  </si>
  <si>
    <t>GII.4
Sydney</t>
  </si>
  <si>
    <t>GII.4
Allegany</t>
  </si>
  <si>
    <t>GII.4
Wichita</t>
  </si>
  <si>
    <t>GII.4 San
Francisco</t>
  </si>
  <si>
    <t>GII.2 Chapel
Hill</t>
  </si>
  <si>
    <t>1987</t>
  </si>
  <si>
    <t>1975</t>
  </si>
  <si>
    <t>1982</t>
  </si>
  <si>
    <t>1989</t>
  </si>
  <si>
    <t>1979</t>
  </si>
  <si>
    <t>1999</t>
  </si>
  <si>
    <t>1990</t>
  </si>
  <si>
    <t>1988</t>
  </si>
  <si>
    <t>1986</t>
  </si>
  <si>
    <t>1977</t>
  </si>
  <si>
    <t>1993</t>
  </si>
  <si>
    <t>1974</t>
  </si>
  <si>
    <t>1981</t>
  </si>
  <si>
    <t>2002</t>
  </si>
  <si>
    <t>1994</t>
  </si>
  <si>
    <t>1992</t>
  </si>
  <si>
    <t>2003</t>
  </si>
  <si>
    <t>2004</t>
  </si>
  <si>
    <t>1995</t>
  </si>
  <si>
    <t>2001</t>
  </si>
  <si>
    <t>2005</t>
  </si>
  <si>
    <t>1991</t>
  </si>
  <si>
    <t>1984</t>
  </si>
  <si>
    <t>1996</t>
  </si>
  <si>
    <t>1978</t>
  </si>
  <si>
    <t>1983</t>
  </si>
  <si>
    <t>1980</t>
  </si>
  <si>
    <t>1976</t>
  </si>
  <si>
    <t>1997</t>
  </si>
  <si>
    <t>2000</t>
  </si>
  <si>
    <t>Race</t>
  </si>
  <si>
    <t>Ethnicity</t>
  </si>
  <si>
    <t>United States</t>
  </si>
  <si>
    <t>Group</t>
  </si>
  <si>
    <t>Group 4: 6 wk-&lt;6 mo</t>
  </si>
  <si>
    <t>Group 3: 6 mo-&lt;12 mo</t>
  </si>
  <si>
    <t>Group 2: 1-&lt;4 yr</t>
  </si>
  <si>
    <t>Group 1: 4-&lt;9 yr</t>
  </si>
  <si>
    <t>Hispanic or Latino</t>
  </si>
  <si>
    <t>Yes</t>
  </si>
  <si>
    <t>American Indian or Alaska Native</t>
  </si>
  <si>
    <t>Other (Mixed Origin)</t>
  </si>
  <si>
    <t>Black or African American</t>
  </si>
  <si>
    <t>White</t>
  </si>
  <si>
    <t xml:space="preserve">  </t>
  </si>
  <si>
    <t>Formulation</t>
  </si>
  <si>
    <t>15/50</t>
  </si>
  <si>
    <t>50/150</t>
  </si>
  <si>
    <t>50/50</t>
  </si>
  <si>
    <t>Dose</t>
  </si>
  <si>
    <t>1 Dose</t>
  </si>
  <si>
    <t>2 Dose</t>
  </si>
  <si>
    <t>Gender</t>
  </si>
  <si>
    <t>M</t>
  </si>
  <si>
    <t>F</t>
  </si>
  <si>
    <t>Group 2</t>
  </si>
  <si>
    <t>Group 1</t>
  </si>
  <si>
    <t>0.4-&lt;1 yr</t>
  </si>
  <si>
    <t>0-&lt;2 yr</t>
  </si>
  <si>
    <t>1-&lt;2 yr</t>
  </si>
  <si>
    <t>2-&lt;3 yr</t>
  </si>
  <si>
    <t>2-&lt;8 yr</t>
  </si>
  <si>
    <t>3-&lt;4 yr</t>
  </si>
  <si>
    <t>4-&lt;5 yr</t>
  </si>
  <si>
    <t>5-&lt;6 yr</t>
  </si>
  <si>
    <t>6-&lt;7 yr</t>
  </si>
  <si>
    <t>7-&lt;8 yr</t>
  </si>
  <si>
    <t>Group 3</t>
  </si>
  <si>
    <t>0.4-&lt;0.5 yr</t>
  </si>
  <si>
    <t>0.5-&lt;1 yr</t>
  </si>
  <si>
    <t>Not Hispanic or Latino</t>
  </si>
  <si>
    <t>Asian</t>
  </si>
  <si>
    <t>Mixed Race</t>
  </si>
  <si>
    <t>American Indian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</si>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</sst>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#######0"/>
    <numFmt numFmtId="166" formatCode="###########0"/>
    <numFmt numFmtId="167" formatCode="0.000"/>
  </numFmts>
  <fonts count="7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9.5"/>
      <color theme="1"/>
      <name val="Arial"/>
      <family val="2"/>
    </font>
    <font>
      <sz val="10"/>
      <color theme="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164" fontId="5" fillId="0" borderId="1" xfId="0" applyNumberFormat="1" applyFont="1" applyBorder="1" applyAlignment="1">
      <alignment horizontal="left" vertical="center" wrapText="1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167" fontId="2" fillId="0" borderId="1" xfId="0" applyNumberFormat="1" applyFont="1" applyBorder="1" applyAlignment="1">
      <alignment horizontal="left"/>
    </xf>
    <xf numFmtId="167" fontId="0" fillId="0" borderId="0" xfId="0" applyNumberFormat="1" applyAlignment="1">
      <alignment horizontal="left"/>
    </xf>
    <xf numFmtId="167" fontId="0" fillId="3" borderId="0" xfId="0" applyNumberFormat="1" applyFill="1" applyAlignment="1">
      <alignment horizontal="left"/>
    </xf>
    <xf numFmtId="164" fontId="0" fillId="0" borderId="1" xfId="0" applyNumberFormat="1" applyBorder="1"/>
  </cellXfs>
  <cellStyles count="1">
    <cellStyle name="Normal" xfId="0" builtinId="0"/>
  </cellStyles>
  <dxfs count="3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C1D9-EF5A-4E03-B949-DB0FB011342C}">
  <dimension ref="A1:C156"/>
  <sheetViews>
    <sheetView topLeftCell="A104" workbookViewId="0">
      <selection activeCell="A2" sqref="A2:A78"/>
    </sheetView>
  </sheetViews>
  <sheetFormatPr defaultRowHeight="15" x14ac:dyDescent="0.25"/>
  <cols>
    <col min="1" max="1" width="15.140625" style="2" customWidth="1"/>
    <col min="2" max="2" width="9.140625" style="2"/>
    <col min="3" max="3" width="16.42578125" style="2" customWidth="1"/>
  </cols>
  <sheetData>
    <row r="1" spans="1:3" x14ac:dyDescent="0.25">
      <c r="A1" s="3">
        <v>215</v>
      </c>
      <c r="B1" s="4"/>
      <c r="C1" s="3">
        <v>202</v>
      </c>
    </row>
    <row r="2" spans="1:3" x14ac:dyDescent="0.25">
      <c r="A2" s="1" t="s">
        <v>0</v>
      </c>
      <c r="C2" s="19">
        <v>2001260</v>
      </c>
    </row>
    <row r="3" spans="1:3" x14ac:dyDescent="0.25">
      <c r="A3" s="1" t="s">
        <v>1</v>
      </c>
      <c r="C3" s="19">
        <v>3001294</v>
      </c>
    </row>
    <row r="4" spans="1:3" x14ac:dyDescent="0.25">
      <c r="A4" s="1" t="s">
        <v>2</v>
      </c>
      <c r="C4" s="19">
        <v>2001119</v>
      </c>
    </row>
    <row r="5" spans="1:3" x14ac:dyDescent="0.25">
      <c r="A5" s="1" t="s">
        <v>3</v>
      </c>
      <c r="C5" s="19">
        <v>3001266</v>
      </c>
    </row>
    <row r="6" spans="1:3" x14ac:dyDescent="0.25">
      <c r="A6" s="1" t="s">
        <v>4</v>
      </c>
      <c r="C6" s="19">
        <v>2001333</v>
      </c>
    </row>
    <row r="7" spans="1:3" x14ac:dyDescent="0.25">
      <c r="A7" s="1" t="s">
        <v>5</v>
      </c>
      <c r="C7" s="19">
        <v>3001317</v>
      </c>
    </row>
    <row r="8" spans="1:3" x14ac:dyDescent="0.25">
      <c r="A8" s="1" t="s">
        <v>6</v>
      </c>
      <c r="C8" s="19">
        <v>3001318</v>
      </c>
    </row>
    <row r="9" spans="1:3" x14ac:dyDescent="0.25">
      <c r="A9" s="1" t="s">
        <v>7</v>
      </c>
      <c r="C9" s="19">
        <v>3001167</v>
      </c>
    </row>
    <row r="10" spans="1:3" x14ac:dyDescent="0.25">
      <c r="A10" s="1" t="s">
        <v>8</v>
      </c>
      <c r="C10" s="19">
        <v>3001254</v>
      </c>
    </row>
    <row r="11" spans="1:3" x14ac:dyDescent="0.25">
      <c r="A11" s="1" t="s">
        <v>9</v>
      </c>
      <c r="C11" s="19">
        <v>2001278</v>
      </c>
    </row>
    <row r="12" spans="1:3" x14ac:dyDescent="0.25">
      <c r="A12" s="1" t="s">
        <v>10</v>
      </c>
      <c r="C12" s="19">
        <v>3001339</v>
      </c>
    </row>
    <row r="13" spans="1:3" x14ac:dyDescent="0.25">
      <c r="A13" s="1" t="s">
        <v>11</v>
      </c>
      <c r="C13" s="19">
        <v>2001329</v>
      </c>
    </row>
    <row r="14" spans="1:3" x14ac:dyDescent="0.25">
      <c r="A14" s="1" t="s">
        <v>12</v>
      </c>
      <c r="C14" s="19">
        <v>3001338</v>
      </c>
    </row>
    <row r="15" spans="1:3" x14ac:dyDescent="0.25">
      <c r="A15" s="1" t="s">
        <v>13</v>
      </c>
      <c r="C15" s="19">
        <v>3001346</v>
      </c>
    </row>
    <row r="16" spans="1:3" x14ac:dyDescent="0.25">
      <c r="A16" s="1" t="s">
        <v>14</v>
      </c>
      <c r="C16" s="19">
        <v>3001260</v>
      </c>
    </row>
    <row r="17" spans="1:3" x14ac:dyDescent="0.25">
      <c r="A17" s="1" t="s">
        <v>15</v>
      </c>
      <c r="C17" s="19">
        <v>2001098</v>
      </c>
    </row>
    <row r="18" spans="1:3" x14ac:dyDescent="0.25">
      <c r="A18" s="1" t="s">
        <v>16</v>
      </c>
      <c r="C18" s="19">
        <v>3001261</v>
      </c>
    </row>
    <row r="19" spans="1:3" x14ac:dyDescent="0.25">
      <c r="A19" s="1" t="s">
        <v>17</v>
      </c>
      <c r="C19" s="19">
        <v>2001198</v>
      </c>
    </row>
    <row r="20" spans="1:3" x14ac:dyDescent="0.25">
      <c r="A20" s="1" t="s">
        <v>18</v>
      </c>
      <c r="C20" s="19">
        <v>2001389</v>
      </c>
    </row>
    <row r="21" spans="1:3" x14ac:dyDescent="0.25">
      <c r="A21" s="1" t="s">
        <v>19</v>
      </c>
      <c r="C21" s="19">
        <v>3001289</v>
      </c>
    </row>
    <row r="22" spans="1:3" x14ac:dyDescent="0.25">
      <c r="A22" s="1" t="s">
        <v>20</v>
      </c>
      <c r="C22" s="19">
        <v>2001279</v>
      </c>
    </row>
    <row r="23" spans="1:3" x14ac:dyDescent="0.25">
      <c r="A23" s="1" t="s">
        <v>21</v>
      </c>
      <c r="C23" s="19">
        <v>2001204</v>
      </c>
    </row>
    <row r="24" spans="1:3" x14ac:dyDescent="0.25">
      <c r="A24" s="1" t="s">
        <v>22</v>
      </c>
      <c r="C24" s="19">
        <v>2001139</v>
      </c>
    </row>
    <row r="25" spans="1:3" x14ac:dyDescent="0.25">
      <c r="A25" s="1" t="s">
        <v>23</v>
      </c>
      <c r="C25" s="19">
        <v>2001230</v>
      </c>
    </row>
    <row r="26" spans="1:3" x14ac:dyDescent="0.25">
      <c r="A26" s="1" t="s">
        <v>24</v>
      </c>
      <c r="C26" s="19">
        <v>2001175</v>
      </c>
    </row>
    <row r="27" spans="1:3" x14ac:dyDescent="0.25">
      <c r="A27" s="1" t="s">
        <v>25</v>
      </c>
      <c r="C27" s="19">
        <v>2001196</v>
      </c>
    </row>
    <row r="28" spans="1:3" x14ac:dyDescent="0.25">
      <c r="A28" s="1" t="s">
        <v>26</v>
      </c>
      <c r="C28" s="19">
        <v>3001194</v>
      </c>
    </row>
    <row r="29" spans="1:3" x14ac:dyDescent="0.25">
      <c r="A29" s="1" t="s">
        <v>27</v>
      </c>
      <c r="C29" s="19">
        <v>3001193</v>
      </c>
    </row>
    <row r="30" spans="1:3" x14ac:dyDescent="0.25">
      <c r="A30" s="1" t="s">
        <v>28</v>
      </c>
      <c r="C30" s="19">
        <v>3001166</v>
      </c>
    </row>
    <row r="31" spans="1:3" x14ac:dyDescent="0.25">
      <c r="A31" s="1" t="s">
        <v>29</v>
      </c>
      <c r="C31" s="19">
        <v>2001107</v>
      </c>
    </row>
    <row r="32" spans="1:3" x14ac:dyDescent="0.25">
      <c r="A32" s="1" t="s">
        <v>30</v>
      </c>
      <c r="C32" s="19">
        <v>3001178</v>
      </c>
    </row>
    <row r="33" spans="1:3" x14ac:dyDescent="0.25">
      <c r="A33" s="1" t="s">
        <v>31</v>
      </c>
      <c r="C33" s="19">
        <v>3001204</v>
      </c>
    </row>
    <row r="34" spans="1:3" x14ac:dyDescent="0.25">
      <c r="A34" s="1" t="s">
        <v>32</v>
      </c>
      <c r="C34" s="19">
        <v>3001190</v>
      </c>
    </row>
    <row r="35" spans="1:3" x14ac:dyDescent="0.25">
      <c r="A35" s="1" t="s">
        <v>33</v>
      </c>
      <c r="C35" s="19">
        <v>3001164</v>
      </c>
    </row>
    <row r="36" spans="1:3" x14ac:dyDescent="0.25">
      <c r="A36" s="1" t="s">
        <v>34</v>
      </c>
      <c r="C36" s="19">
        <v>2001179</v>
      </c>
    </row>
    <row r="37" spans="1:3" x14ac:dyDescent="0.25">
      <c r="A37" s="1" t="s">
        <v>35</v>
      </c>
      <c r="C37" s="19">
        <v>2001166</v>
      </c>
    </row>
    <row r="38" spans="1:3" x14ac:dyDescent="0.25">
      <c r="A38" s="1" t="s">
        <v>36</v>
      </c>
      <c r="C38" s="19">
        <v>3001195</v>
      </c>
    </row>
    <row r="39" spans="1:3" x14ac:dyDescent="0.25">
      <c r="A39" s="1" t="s">
        <v>37</v>
      </c>
      <c r="C39" s="19">
        <v>2001163</v>
      </c>
    </row>
    <row r="40" spans="1:3" x14ac:dyDescent="0.25">
      <c r="A40" s="1" t="s">
        <v>38</v>
      </c>
      <c r="C40" s="19">
        <v>2001182</v>
      </c>
    </row>
    <row r="41" spans="1:3" x14ac:dyDescent="0.25">
      <c r="A41" s="1" t="s">
        <v>39</v>
      </c>
      <c r="C41" s="19">
        <v>3001203</v>
      </c>
    </row>
    <row r="42" spans="1:3" x14ac:dyDescent="0.25">
      <c r="A42" s="1" t="s">
        <v>40</v>
      </c>
      <c r="C42" s="19">
        <v>2001075</v>
      </c>
    </row>
    <row r="43" spans="1:3" x14ac:dyDescent="0.25">
      <c r="A43" s="1" t="s">
        <v>41</v>
      </c>
      <c r="C43" s="19">
        <v>3001118</v>
      </c>
    </row>
    <row r="44" spans="1:3" x14ac:dyDescent="0.25">
      <c r="A44" s="1" t="s">
        <v>42</v>
      </c>
      <c r="C44" s="19">
        <v>2001076</v>
      </c>
    </row>
    <row r="45" spans="1:3" x14ac:dyDescent="0.25">
      <c r="A45" s="1" t="s">
        <v>43</v>
      </c>
      <c r="C45" s="19">
        <v>3001075</v>
      </c>
    </row>
    <row r="46" spans="1:3" x14ac:dyDescent="0.25">
      <c r="A46" s="1" t="s">
        <v>44</v>
      </c>
      <c r="C46" s="19">
        <v>2001068</v>
      </c>
    </row>
    <row r="47" spans="1:3" x14ac:dyDescent="0.25">
      <c r="A47" s="1" t="s">
        <v>45</v>
      </c>
      <c r="C47" s="19">
        <v>3001088</v>
      </c>
    </row>
    <row r="48" spans="1:3" x14ac:dyDescent="0.25">
      <c r="A48" s="1" t="s">
        <v>46</v>
      </c>
      <c r="C48" s="19">
        <v>2001090</v>
      </c>
    </row>
    <row r="49" spans="1:3" x14ac:dyDescent="0.25">
      <c r="A49" s="1" t="s">
        <v>47</v>
      </c>
      <c r="C49" s="19">
        <v>3001103</v>
      </c>
    </row>
    <row r="50" spans="1:3" x14ac:dyDescent="0.25">
      <c r="A50" s="1" t="s">
        <v>48</v>
      </c>
      <c r="C50" s="19">
        <v>2001047</v>
      </c>
    </row>
    <row r="51" spans="1:3" x14ac:dyDescent="0.25">
      <c r="A51" s="1" t="s">
        <v>49</v>
      </c>
      <c r="C51" s="19">
        <v>2001062</v>
      </c>
    </row>
    <row r="52" spans="1:3" x14ac:dyDescent="0.25">
      <c r="A52" s="1" t="s">
        <v>50</v>
      </c>
      <c r="C52" s="19">
        <v>3001069</v>
      </c>
    </row>
    <row r="53" spans="1:3" x14ac:dyDescent="0.25">
      <c r="A53" s="1" t="s">
        <v>51</v>
      </c>
      <c r="C53" s="19">
        <v>3001014</v>
      </c>
    </row>
    <row r="54" spans="1:3" x14ac:dyDescent="0.25">
      <c r="A54" s="1" t="s">
        <v>52</v>
      </c>
      <c r="C54" s="19">
        <v>3001092</v>
      </c>
    </row>
    <row r="55" spans="1:3" x14ac:dyDescent="0.25">
      <c r="A55" s="1" t="s">
        <v>53</v>
      </c>
      <c r="C55" s="19">
        <v>3001047</v>
      </c>
    </row>
    <row r="56" spans="1:3" x14ac:dyDescent="0.25">
      <c r="A56" s="1" t="s">
        <v>54</v>
      </c>
      <c r="C56" s="19">
        <v>3001145</v>
      </c>
    </row>
    <row r="57" spans="1:3" x14ac:dyDescent="0.25">
      <c r="A57" s="1" t="s">
        <v>55</v>
      </c>
      <c r="C57" s="19">
        <v>3001062</v>
      </c>
    </row>
    <row r="58" spans="1:3" x14ac:dyDescent="0.25">
      <c r="A58" s="1" t="s">
        <v>56</v>
      </c>
      <c r="C58" s="19">
        <v>3001135</v>
      </c>
    </row>
    <row r="59" spans="1:3" x14ac:dyDescent="0.25">
      <c r="A59" s="1" t="s">
        <v>57</v>
      </c>
      <c r="C59" s="19">
        <v>2001083</v>
      </c>
    </row>
    <row r="60" spans="1:3" x14ac:dyDescent="0.25">
      <c r="A60" s="1" t="s">
        <v>58</v>
      </c>
      <c r="C60" s="19">
        <v>2001093</v>
      </c>
    </row>
    <row r="61" spans="1:3" x14ac:dyDescent="0.25">
      <c r="A61" s="1" t="s">
        <v>59</v>
      </c>
      <c r="C61" s="19">
        <v>3001028</v>
      </c>
    </row>
    <row r="62" spans="1:3" x14ac:dyDescent="0.25">
      <c r="A62" s="1" t="s">
        <v>60</v>
      </c>
      <c r="C62" s="19">
        <v>3001141</v>
      </c>
    </row>
    <row r="63" spans="1:3" x14ac:dyDescent="0.25">
      <c r="A63" s="1" t="s">
        <v>61</v>
      </c>
      <c r="C63" s="19">
        <v>2001067</v>
      </c>
    </row>
    <row r="64" spans="1:3" x14ac:dyDescent="0.25">
      <c r="A64" s="1" t="s">
        <v>62</v>
      </c>
      <c r="C64" s="19">
        <v>3001102</v>
      </c>
    </row>
    <row r="65" spans="1:3" x14ac:dyDescent="0.25">
      <c r="A65" s="1" t="s">
        <v>63</v>
      </c>
      <c r="C65" s="19">
        <v>2001073</v>
      </c>
    </row>
    <row r="66" spans="1:3" x14ac:dyDescent="0.25">
      <c r="A66" s="1" t="s">
        <v>64</v>
      </c>
      <c r="C66" s="19">
        <v>2001071</v>
      </c>
    </row>
    <row r="67" spans="1:3" x14ac:dyDescent="0.25">
      <c r="A67" s="1" t="s">
        <v>65</v>
      </c>
      <c r="C67" s="19">
        <v>2001074</v>
      </c>
    </row>
    <row r="68" spans="1:3" x14ac:dyDescent="0.25">
      <c r="A68" s="1" t="s">
        <v>66</v>
      </c>
      <c r="C68" s="19">
        <v>3001025</v>
      </c>
    </row>
    <row r="69" spans="1:3" x14ac:dyDescent="0.25">
      <c r="A69" s="1" t="s">
        <v>67</v>
      </c>
      <c r="C69" s="19">
        <v>3001098</v>
      </c>
    </row>
    <row r="70" spans="1:3" x14ac:dyDescent="0.25">
      <c r="A70" s="1" t="s">
        <v>68</v>
      </c>
      <c r="C70" s="19">
        <v>2001046</v>
      </c>
    </row>
    <row r="71" spans="1:3" x14ac:dyDescent="0.25">
      <c r="A71" s="1" t="s">
        <v>69</v>
      </c>
      <c r="C71" s="19">
        <v>2001077</v>
      </c>
    </row>
    <row r="72" spans="1:3" x14ac:dyDescent="0.25">
      <c r="A72" s="1" t="s">
        <v>70</v>
      </c>
      <c r="C72" s="19">
        <v>2001095</v>
      </c>
    </row>
    <row r="73" spans="1:3" x14ac:dyDescent="0.25">
      <c r="A73" s="1" t="s">
        <v>71</v>
      </c>
      <c r="C73" s="19">
        <v>3001078</v>
      </c>
    </row>
    <row r="74" spans="1:3" x14ac:dyDescent="0.25">
      <c r="A74" s="1" t="s">
        <v>72</v>
      </c>
      <c r="C74" s="19">
        <v>3001019</v>
      </c>
    </row>
    <row r="75" spans="1:3" x14ac:dyDescent="0.25">
      <c r="A75" s="1" t="s">
        <v>73</v>
      </c>
      <c r="C75" s="19">
        <v>3001094</v>
      </c>
    </row>
    <row r="76" spans="1:3" x14ac:dyDescent="0.25">
      <c r="A76" s="1" t="s">
        <v>74</v>
      </c>
      <c r="C76" s="19">
        <v>3001111</v>
      </c>
    </row>
    <row r="77" spans="1:3" x14ac:dyDescent="0.25">
      <c r="A77" s="1" t="s">
        <v>75</v>
      </c>
      <c r="C77" s="19">
        <v>3001067</v>
      </c>
    </row>
    <row r="78" spans="1:3" x14ac:dyDescent="0.25">
      <c r="A78" s="1" t="s">
        <v>76</v>
      </c>
      <c r="C78" s="19">
        <v>2001048</v>
      </c>
    </row>
    <row r="79" spans="1:3" x14ac:dyDescent="0.25">
      <c r="C79" s="19">
        <v>2001001</v>
      </c>
    </row>
    <row r="80" spans="1:3" x14ac:dyDescent="0.25">
      <c r="C80" s="19">
        <v>2001003</v>
      </c>
    </row>
    <row r="81" spans="3:3" x14ac:dyDescent="0.25">
      <c r="C81" s="19">
        <v>2001006</v>
      </c>
    </row>
    <row r="82" spans="3:3" x14ac:dyDescent="0.25">
      <c r="C82" s="19">
        <v>2001008</v>
      </c>
    </row>
    <row r="83" spans="3:3" x14ac:dyDescent="0.25">
      <c r="C83" s="19">
        <v>2001011</v>
      </c>
    </row>
    <row r="84" spans="3:3" x14ac:dyDescent="0.25">
      <c r="C84" s="19">
        <v>2001013</v>
      </c>
    </row>
    <row r="85" spans="3:3" x14ac:dyDescent="0.25">
      <c r="C85" s="19">
        <v>2001016</v>
      </c>
    </row>
    <row r="86" spans="3:3" x14ac:dyDescent="0.25">
      <c r="C86" s="19">
        <v>2001026</v>
      </c>
    </row>
    <row r="87" spans="3:3" x14ac:dyDescent="0.25">
      <c r="C87" s="19">
        <v>2001028</v>
      </c>
    </row>
    <row r="88" spans="3:3" x14ac:dyDescent="0.25">
      <c r="C88" s="19">
        <v>2001029</v>
      </c>
    </row>
    <row r="89" spans="3:3" x14ac:dyDescent="0.25">
      <c r="C89" s="19">
        <v>2001033</v>
      </c>
    </row>
    <row r="90" spans="3:3" x14ac:dyDescent="0.25">
      <c r="C90" s="19">
        <v>2001034</v>
      </c>
    </row>
    <row r="91" spans="3:3" x14ac:dyDescent="0.25">
      <c r="C91" s="19">
        <v>2001036</v>
      </c>
    </row>
    <row r="92" spans="3:3" x14ac:dyDescent="0.25">
      <c r="C92" s="19">
        <v>2001037</v>
      </c>
    </row>
    <row r="93" spans="3:3" x14ac:dyDescent="0.25">
      <c r="C93" s="19">
        <v>2001038</v>
      </c>
    </row>
    <row r="94" spans="3:3" x14ac:dyDescent="0.25">
      <c r="C94" s="19">
        <v>2001043</v>
      </c>
    </row>
    <row r="95" spans="3:3" x14ac:dyDescent="0.25">
      <c r="C95" s="19">
        <v>2001044</v>
      </c>
    </row>
    <row r="96" spans="3:3" x14ac:dyDescent="0.25">
      <c r="C96" s="19">
        <v>2001049</v>
      </c>
    </row>
    <row r="97" spans="3:3" x14ac:dyDescent="0.25">
      <c r="C97" s="19">
        <v>2001064</v>
      </c>
    </row>
    <row r="98" spans="3:3" x14ac:dyDescent="0.25">
      <c r="C98" s="19">
        <v>2001069</v>
      </c>
    </row>
    <row r="99" spans="3:3" x14ac:dyDescent="0.25">
      <c r="C99" s="19">
        <v>2001072</v>
      </c>
    </row>
    <row r="100" spans="3:3" x14ac:dyDescent="0.25">
      <c r="C100" s="19">
        <v>2001078</v>
      </c>
    </row>
    <row r="101" spans="3:3" x14ac:dyDescent="0.25">
      <c r="C101" s="19">
        <v>2001081</v>
      </c>
    </row>
    <row r="102" spans="3:3" x14ac:dyDescent="0.25">
      <c r="C102" s="19">
        <v>2001084</v>
      </c>
    </row>
    <row r="103" spans="3:3" x14ac:dyDescent="0.25">
      <c r="C103" s="19">
        <v>2001085</v>
      </c>
    </row>
    <row r="104" spans="3:3" x14ac:dyDescent="0.25">
      <c r="C104" s="19">
        <v>2001086</v>
      </c>
    </row>
    <row r="105" spans="3:3" x14ac:dyDescent="0.25">
      <c r="C105" s="19">
        <v>2001089</v>
      </c>
    </row>
    <row r="106" spans="3:3" x14ac:dyDescent="0.25">
      <c r="C106" s="19">
        <v>2001092</v>
      </c>
    </row>
    <row r="107" spans="3:3" x14ac:dyDescent="0.25">
      <c r="C107" s="19">
        <v>2001094</v>
      </c>
    </row>
    <row r="108" spans="3:3" x14ac:dyDescent="0.25">
      <c r="C108" s="19">
        <v>3001003</v>
      </c>
    </row>
    <row r="109" spans="3:3" x14ac:dyDescent="0.25">
      <c r="C109" s="19">
        <v>3001004</v>
      </c>
    </row>
    <row r="110" spans="3:3" x14ac:dyDescent="0.25">
      <c r="C110" s="19">
        <v>3001005</v>
      </c>
    </row>
    <row r="111" spans="3:3" x14ac:dyDescent="0.25">
      <c r="C111" s="19">
        <v>3001007</v>
      </c>
    </row>
    <row r="112" spans="3:3" x14ac:dyDescent="0.25">
      <c r="C112" s="19">
        <v>3001008</v>
      </c>
    </row>
    <row r="113" spans="3:3" x14ac:dyDescent="0.25">
      <c r="C113" s="19">
        <v>3001009</v>
      </c>
    </row>
    <row r="114" spans="3:3" x14ac:dyDescent="0.25">
      <c r="C114" s="19">
        <v>3001010</v>
      </c>
    </row>
    <row r="115" spans="3:3" x14ac:dyDescent="0.25">
      <c r="C115" s="19">
        <v>3001011</v>
      </c>
    </row>
    <row r="116" spans="3:3" x14ac:dyDescent="0.25">
      <c r="C116" s="19">
        <v>3001020</v>
      </c>
    </row>
    <row r="117" spans="3:3" x14ac:dyDescent="0.25">
      <c r="C117" s="19">
        <v>3001023</v>
      </c>
    </row>
    <row r="118" spans="3:3" x14ac:dyDescent="0.25">
      <c r="C118" s="19">
        <v>3001031</v>
      </c>
    </row>
    <row r="119" spans="3:3" x14ac:dyDescent="0.25">
      <c r="C119" s="19">
        <v>3001033</v>
      </c>
    </row>
    <row r="120" spans="3:3" x14ac:dyDescent="0.25">
      <c r="C120" s="19">
        <v>3001042</v>
      </c>
    </row>
    <row r="121" spans="3:3" x14ac:dyDescent="0.25">
      <c r="C121" s="19">
        <v>3001046</v>
      </c>
    </row>
    <row r="122" spans="3:3" x14ac:dyDescent="0.25">
      <c r="C122" s="19">
        <v>3001053</v>
      </c>
    </row>
    <row r="123" spans="3:3" x14ac:dyDescent="0.25">
      <c r="C123" s="19">
        <v>3001055</v>
      </c>
    </row>
    <row r="124" spans="3:3" x14ac:dyDescent="0.25">
      <c r="C124" s="19">
        <v>3001057</v>
      </c>
    </row>
    <row r="125" spans="3:3" x14ac:dyDescent="0.25">
      <c r="C125" s="19">
        <v>3001059</v>
      </c>
    </row>
    <row r="126" spans="3:3" x14ac:dyDescent="0.25">
      <c r="C126" s="19">
        <v>3001060</v>
      </c>
    </row>
    <row r="127" spans="3:3" x14ac:dyDescent="0.25">
      <c r="C127" s="19">
        <v>3001063</v>
      </c>
    </row>
    <row r="128" spans="3:3" x14ac:dyDescent="0.25">
      <c r="C128" s="19">
        <v>3001065</v>
      </c>
    </row>
    <row r="129" spans="3:3" x14ac:dyDescent="0.25">
      <c r="C129" s="19">
        <v>3001066</v>
      </c>
    </row>
    <row r="130" spans="3:3" x14ac:dyDescent="0.25">
      <c r="C130" s="19">
        <v>3001073</v>
      </c>
    </row>
    <row r="131" spans="3:3" x14ac:dyDescent="0.25">
      <c r="C131" s="19">
        <v>3001074</v>
      </c>
    </row>
    <row r="132" spans="3:3" x14ac:dyDescent="0.25">
      <c r="C132" s="19">
        <v>3001076</v>
      </c>
    </row>
    <row r="133" spans="3:3" x14ac:dyDescent="0.25">
      <c r="C133" s="19">
        <v>3001077</v>
      </c>
    </row>
    <row r="134" spans="3:3" x14ac:dyDescent="0.25">
      <c r="C134" s="19">
        <v>3001080</v>
      </c>
    </row>
    <row r="135" spans="3:3" x14ac:dyDescent="0.25">
      <c r="C135" s="19">
        <v>3001081</v>
      </c>
    </row>
    <row r="136" spans="3:3" x14ac:dyDescent="0.25">
      <c r="C136" s="19">
        <v>3001084</v>
      </c>
    </row>
    <row r="137" spans="3:3" x14ac:dyDescent="0.25">
      <c r="C137" s="19">
        <v>3001085</v>
      </c>
    </row>
    <row r="138" spans="3:3" x14ac:dyDescent="0.25">
      <c r="C138" s="19">
        <v>3001086</v>
      </c>
    </row>
    <row r="139" spans="3:3" x14ac:dyDescent="0.25">
      <c r="C139" s="19">
        <v>3001087</v>
      </c>
    </row>
    <row r="140" spans="3:3" x14ac:dyDescent="0.25">
      <c r="C140" s="19">
        <v>3001095</v>
      </c>
    </row>
    <row r="141" spans="3:3" x14ac:dyDescent="0.25">
      <c r="C141" s="19">
        <v>3001100</v>
      </c>
    </row>
    <row r="142" spans="3:3" x14ac:dyDescent="0.25">
      <c r="C142" s="19">
        <v>3001110</v>
      </c>
    </row>
    <row r="143" spans="3:3" x14ac:dyDescent="0.25">
      <c r="C143" s="19">
        <v>3001113</v>
      </c>
    </row>
    <row r="144" spans="3:3" x14ac:dyDescent="0.25">
      <c r="C144" s="19">
        <v>3001114</v>
      </c>
    </row>
    <row r="145" spans="3:3" x14ac:dyDescent="0.25">
      <c r="C145" s="19">
        <v>3001116</v>
      </c>
    </row>
    <row r="146" spans="3:3" x14ac:dyDescent="0.25">
      <c r="C146" s="19">
        <v>3001122</v>
      </c>
    </row>
    <row r="147" spans="3:3" x14ac:dyDescent="0.25">
      <c r="C147" s="19">
        <v>3001124</v>
      </c>
    </row>
    <row r="148" spans="3:3" x14ac:dyDescent="0.25">
      <c r="C148" s="19">
        <v>3001127</v>
      </c>
    </row>
    <row r="149" spans="3:3" x14ac:dyDescent="0.25">
      <c r="C149" s="19">
        <v>3001131</v>
      </c>
    </row>
    <row r="150" spans="3:3" x14ac:dyDescent="0.25">
      <c r="C150" s="19">
        <v>3001132</v>
      </c>
    </row>
    <row r="151" spans="3:3" x14ac:dyDescent="0.25">
      <c r="C151" s="19">
        <v>3001136</v>
      </c>
    </row>
    <row r="152" spans="3:3" x14ac:dyDescent="0.25">
      <c r="C152" s="19">
        <v>3001138</v>
      </c>
    </row>
    <row r="153" spans="3:3" x14ac:dyDescent="0.25">
      <c r="C153" s="19">
        <v>3001143</v>
      </c>
    </row>
    <row r="154" spans="3:3" x14ac:dyDescent="0.25">
      <c r="C154" s="19">
        <v>3001148</v>
      </c>
    </row>
    <row r="155" spans="3:3" x14ac:dyDescent="0.25">
      <c r="C155" s="19">
        <v>3001149</v>
      </c>
    </row>
    <row r="156" spans="3:3" x14ac:dyDescent="0.25">
      <c r="C156" s="19">
        <v>3001151</v>
      </c>
    </row>
  </sheetData>
  <sortState xmlns:xlrd2="http://schemas.microsoft.com/office/spreadsheetml/2017/richdata2" ref="A2:C156">
    <sortCondition ref="A2:A156"/>
  </sortState>
  <conditionalFormatting sqref="A1:A1048576">
    <cfRule type="duplicateValues" dxfId="2" priority="2"/>
  </conditionalFormatting>
  <conditionalFormatting sqref="C1:C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0BA5-4628-497D-B1FE-AD295B72FED3}">
  <dimension ref="A1:AB332"/>
  <sheetViews>
    <sheetView tabSelected="1" topLeftCell="B58" zoomScale="115" zoomScaleNormal="115" workbookViewId="0">
      <selection activeCell="B2" sqref="A2:XFD328"/>
    </sheetView>
  </sheetViews>
  <sheetFormatPr defaultColWidth="8.7109375" defaultRowHeight="15" x14ac:dyDescent="0.25"/>
  <cols>
    <col min="1" max="1" width="10.140625" style="2" hidden="1" customWidth="1"/>
    <col min="2" max="2" width="10.140625" style="2" bestFit="1" customWidth="1"/>
    <col min="3" max="3" width="11.140625" style="4" hidden="1" customWidth="1"/>
    <col min="4" max="4" width="12.85546875" style="2" hidden="1" customWidth="1"/>
    <col min="5" max="7" width="15.140625" style="2" hidden="1" customWidth="1"/>
    <col min="8" max="8" width="5.5703125" style="4" hidden="1" customWidth="1"/>
    <col min="9" max="9" width="38.85546875" style="2" hidden="1" customWidth="1"/>
    <col min="10" max="10" width="15.7109375" style="2" hidden="1" customWidth="1"/>
    <col min="11" max="11" width="11" style="2" customWidth="1"/>
    <col min="12" max="15" width="11.85546875" style="21" customWidth="1"/>
    <col min="16" max="16" width="21.7109375" style="10" customWidth="1"/>
    <col min="17" max="17" width="11.28515625" style="10" customWidth="1"/>
    <col min="18" max="18" width="11.85546875" style="10" customWidth="1"/>
    <col min="19" max="19" width="24.85546875" style="10" customWidth="1"/>
    <col min="20" max="20" width="11.85546875" style="2" customWidth="1"/>
    <col min="21" max="16384" width="8.7109375" style="8"/>
  </cols>
  <sheetData>
    <row r="1" spans="1:21" x14ac:dyDescent="0.25">
      <c r="A1" s="5" t="s">
        <v>77</v>
      </c>
      <c r="B1" s="5" t="s">
        <v>78</v>
      </c>
      <c r="C1" s="5" t="s">
        <v>79</v>
      </c>
      <c r="D1" s="6" t="s">
        <v>80</v>
      </c>
      <c r="E1" s="6" t="s">
        <v>81</v>
      </c>
      <c r="F1" s="6" t="s">
        <v>82</v>
      </c>
      <c r="G1" s="6" t="s">
        <v>83</v>
      </c>
      <c r="H1" s="6" t="s">
        <v>84</v>
      </c>
      <c r="I1" s="5" t="s">
        <v>85</v>
      </c>
      <c r="J1" s="5" t="s">
        <v>160</v>
      </c>
      <c r="K1" s="5" t="s">
        <v>156</v>
      </c>
      <c r="L1" s="20" t="s">
        <v>86</v>
      </c>
      <c r="M1" s="20" t="s">
        <v>167</v>
      </c>
      <c r="N1" s="20" t="s">
        <v>166</v>
      </c>
      <c r="O1" s="20" t="s">
        <v>178</v>
      </c>
      <c r="P1" s="7" t="s">
        <v>144</v>
      </c>
      <c r="Q1" s="7" t="s">
        <v>163</v>
      </c>
      <c r="R1" s="7" t="s">
        <v>149</v>
      </c>
      <c r="S1" s="7" t="s">
        <v>141</v>
      </c>
      <c r="T1" s="7" t="s">
        <v>87</v>
      </c>
    </row>
    <row r="2" spans="1:21" ht="15" customHeight="1" x14ac:dyDescent="0.25">
      <c r="A2" s="2" t="s">
        <v>88</v>
      </c>
      <c r="B2" s="2">
        <v>3001266</v>
      </c>
      <c r="C2" s="4">
        <v>393</v>
      </c>
      <c r="D2" s="9">
        <v>26.239280000000001</v>
      </c>
      <c r="E2" s="9">
        <v>10</v>
      </c>
      <c r="F2" s="9">
        <v>10</v>
      </c>
      <c r="G2" s="9">
        <v>10</v>
      </c>
      <c r="H2" s="9">
        <v>10</v>
      </c>
      <c r="I2" s="2" t="s">
        <v>96</v>
      </c>
      <c r="J2" s="2" t="s">
        <v>162</v>
      </c>
      <c r="K2" s="2" t="s">
        <v>158</v>
      </c>
      <c r="L2" s="21">
        <v>0.42162902120000001</v>
      </c>
      <c r="M2" s="22" t="s">
        <v>168</v>
      </c>
      <c r="N2" s="22" t="s">
        <v>169</v>
      </c>
      <c r="O2" s="22" t="s">
        <v>179</v>
      </c>
      <c r="P2" s="10" t="s">
        <v>145</v>
      </c>
      <c r="Q2" s="10" t="s">
        <v>165</v>
      </c>
      <c r="R2" s="10" t="s">
        <v>150</v>
      </c>
      <c r="S2" s="10" t="s">
        <v>151</v>
      </c>
      <c r="T2" s="2" t="s">
        <v>99</v>
      </c>
      <c r="U2" s="8" t="s">
        <v>93</v>
      </c>
    </row>
    <row r="3" spans="1:21" x14ac:dyDescent="0.25">
      <c r="A3" s="2" t="s">
        <v>88</v>
      </c>
      <c r="B3" s="2">
        <v>3001254</v>
      </c>
      <c r="C3" s="4">
        <v>387</v>
      </c>
      <c r="D3" s="9">
        <v>10</v>
      </c>
      <c r="E3" s="9">
        <v>10</v>
      </c>
      <c r="F3" s="9">
        <v>10</v>
      </c>
      <c r="G3" s="9">
        <v>10</v>
      </c>
      <c r="H3" s="9">
        <v>10</v>
      </c>
      <c r="I3" s="2" t="s">
        <v>98</v>
      </c>
      <c r="J3" s="2" t="s">
        <v>162</v>
      </c>
      <c r="K3" s="2" t="s">
        <v>157</v>
      </c>
      <c r="L3" s="21">
        <v>0.4298425736</v>
      </c>
      <c r="M3" s="22" t="s">
        <v>168</v>
      </c>
      <c r="N3" s="22" t="s">
        <v>169</v>
      </c>
      <c r="O3" s="22" t="s">
        <v>179</v>
      </c>
      <c r="P3" s="10" t="s">
        <v>145</v>
      </c>
      <c r="Q3" s="10" t="s">
        <v>165</v>
      </c>
      <c r="R3" s="10" t="s">
        <v>150</v>
      </c>
      <c r="S3" s="10" t="s">
        <v>151</v>
      </c>
      <c r="T3" s="2" t="s">
        <v>99</v>
      </c>
    </row>
    <row r="4" spans="1:21" x14ac:dyDescent="0.25">
      <c r="A4" s="2" t="s">
        <v>88</v>
      </c>
      <c r="B4" s="2">
        <v>3001339</v>
      </c>
      <c r="C4" s="4">
        <v>405</v>
      </c>
      <c r="D4" s="2">
        <v>10</v>
      </c>
      <c r="E4" s="2">
        <v>10</v>
      </c>
      <c r="F4" s="2">
        <v>10</v>
      </c>
      <c r="G4" s="2">
        <v>10</v>
      </c>
      <c r="H4" s="2">
        <v>10</v>
      </c>
      <c r="I4" s="2" t="s">
        <v>98</v>
      </c>
      <c r="J4" s="2" t="s">
        <v>162</v>
      </c>
      <c r="K4" s="2" t="s">
        <v>157</v>
      </c>
      <c r="L4" s="21">
        <v>0.43531827519999999</v>
      </c>
      <c r="M4" s="22" t="s">
        <v>168</v>
      </c>
      <c r="N4" s="22" t="s">
        <v>169</v>
      </c>
      <c r="O4" s="22" t="s">
        <v>179</v>
      </c>
      <c r="P4" s="10" t="s">
        <v>145</v>
      </c>
      <c r="Q4" s="10" t="s">
        <v>165</v>
      </c>
      <c r="R4" s="10" t="s">
        <v>150</v>
      </c>
      <c r="S4" s="10" t="s">
        <v>151</v>
      </c>
      <c r="T4" s="2" t="s">
        <v>99</v>
      </c>
    </row>
    <row r="5" spans="1:21" x14ac:dyDescent="0.25">
      <c r="A5" s="2" t="s">
        <v>88</v>
      </c>
      <c r="B5" s="2">
        <v>2001119</v>
      </c>
      <c r="C5" s="4">
        <v>143</v>
      </c>
      <c r="D5" s="9">
        <v>10</v>
      </c>
      <c r="E5" s="9">
        <v>10</v>
      </c>
      <c r="F5" s="9">
        <v>10</v>
      </c>
      <c r="G5" s="9">
        <v>10</v>
      </c>
      <c r="H5" s="9">
        <v>10</v>
      </c>
      <c r="I5" s="2" t="s">
        <v>98</v>
      </c>
      <c r="J5" s="2" t="s">
        <v>162</v>
      </c>
      <c r="K5" s="2" t="s">
        <v>157</v>
      </c>
      <c r="L5" s="21">
        <v>0.42162902120000001</v>
      </c>
      <c r="M5" s="22" t="s">
        <v>168</v>
      </c>
      <c r="N5" s="22" t="s">
        <v>169</v>
      </c>
      <c r="O5" s="22" t="s">
        <v>179</v>
      </c>
      <c r="P5" s="10" t="s">
        <v>145</v>
      </c>
      <c r="Q5" s="10" t="s">
        <v>164</v>
      </c>
      <c r="R5" s="10" t="s">
        <v>150</v>
      </c>
      <c r="S5" s="10" t="s">
        <v>151</v>
      </c>
      <c r="T5" s="2" t="s">
        <v>90</v>
      </c>
    </row>
    <row r="6" spans="1:21" x14ac:dyDescent="0.25">
      <c r="A6" s="2" t="s">
        <v>88</v>
      </c>
      <c r="B6" s="2">
        <v>3001075</v>
      </c>
      <c r="C6" s="4">
        <v>281</v>
      </c>
      <c r="D6" s="9">
        <v>252.61490000000001</v>
      </c>
      <c r="E6" s="9">
        <v>6609.991</v>
      </c>
      <c r="F6" s="9">
        <v>1033.338</v>
      </c>
      <c r="G6" s="9">
        <v>597.19309999999996</v>
      </c>
      <c r="H6" s="9">
        <v>133.71029999999999</v>
      </c>
      <c r="I6" s="2" t="s">
        <v>92</v>
      </c>
      <c r="J6" s="2" t="s">
        <v>161</v>
      </c>
      <c r="K6" s="2" t="s">
        <v>157</v>
      </c>
      <c r="L6" s="21">
        <v>1.1991786447999999</v>
      </c>
      <c r="M6" s="22" t="s">
        <v>170</v>
      </c>
      <c r="N6" s="22" t="s">
        <v>169</v>
      </c>
      <c r="O6" s="22"/>
      <c r="P6" s="10" t="s">
        <v>147</v>
      </c>
      <c r="Q6" s="10" t="s">
        <v>165</v>
      </c>
      <c r="R6" s="10" t="s">
        <v>150</v>
      </c>
      <c r="S6" s="10" t="s">
        <v>152</v>
      </c>
      <c r="T6" s="2" t="s">
        <v>99</v>
      </c>
    </row>
    <row r="7" spans="1:21" x14ac:dyDescent="0.25">
      <c r="A7" s="2" t="s">
        <v>88</v>
      </c>
      <c r="B7" s="2">
        <v>3001062</v>
      </c>
      <c r="C7" s="4">
        <v>261</v>
      </c>
      <c r="D7" s="9">
        <v>358.57069999999999</v>
      </c>
      <c r="E7" s="9">
        <v>10337.76</v>
      </c>
      <c r="F7" s="9">
        <v>831.68510000000003</v>
      </c>
      <c r="G7" s="9">
        <v>442.15320000000003</v>
      </c>
      <c r="H7" s="9">
        <v>65.989369999999994</v>
      </c>
      <c r="I7" s="2" t="s">
        <v>92</v>
      </c>
      <c r="J7" s="2" t="s">
        <v>161</v>
      </c>
      <c r="K7" s="2" t="s">
        <v>157</v>
      </c>
      <c r="L7" s="21">
        <v>1.8699520876</v>
      </c>
      <c r="M7" s="22" t="s">
        <v>170</v>
      </c>
      <c r="N7" s="22" t="s">
        <v>169</v>
      </c>
      <c r="O7" s="22"/>
      <c r="P7" s="10" t="s">
        <v>147</v>
      </c>
      <c r="Q7" s="10" t="s">
        <v>165</v>
      </c>
      <c r="R7" s="10" t="s">
        <v>150</v>
      </c>
      <c r="S7" s="10" t="s">
        <v>152</v>
      </c>
      <c r="T7" s="2" t="s">
        <v>99</v>
      </c>
    </row>
    <row r="8" spans="1:21" ht="15" customHeight="1" x14ac:dyDescent="0.25">
      <c r="A8" s="2" t="s">
        <v>88</v>
      </c>
      <c r="B8" s="2">
        <v>3001317</v>
      </c>
      <c r="C8" s="4">
        <v>399</v>
      </c>
      <c r="D8" s="9">
        <v>10</v>
      </c>
      <c r="E8" s="9">
        <v>10</v>
      </c>
      <c r="F8" s="9">
        <v>10</v>
      </c>
      <c r="G8" s="9">
        <v>10</v>
      </c>
      <c r="H8" s="9">
        <v>10</v>
      </c>
      <c r="I8" s="2" t="s">
        <v>96</v>
      </c>
      <c r="J8" s="2" t="s">
        <v>162</v>
      </c>
      <c r="K8" s="2" t="s">
        <v>158</v>
      </c>
      <c r="L8" s="21">
        <v>0.4271047228</v>
      </c>
      <c r="M8" s="22" t="s">
        <v>168</v>
      </c>
      <c r="N8" s="22" t="s">
        <v>169</v>
      </c>
      <c r="O8" s="22" t="s">
        <v>179</v>
      </c>
      <c r="P8" s="10" t="s">
        <v>145</v>
      </c>
      <c r="Q8" s="10" t="s">
        <v>165</v>
      </c>
      <c r="R8" s="10" t="s">
        <v>150</v>
      </c>
      <c r="S8" s="10" t="s">
        <v>152</v>
      </c>
      <c r="T8" s="2" t="s">
        <v>99</v>
      </c>
    </row>
    <row r="9" spans="1:21" x14ac:dyDescent="0.25">
      <c r="A9" s="2" t="s">
        <v>88</v>
      </c>
      <c r="B9" s="2">
        <v>3001318</v>
      </c>
      <c r="C9" s="4">
        <v>401</v>
      </c>
      <c r="D9" s="2">
        <v>10</v>
      </c>
      <c r="E9" s="2">
        <v>10</v>
      </c>
      <c r="F9" s="2">
        <v>10</v>
      </c>
      <c r="G9" s="2">
        <v>10</v>
      </c>
      <c r="H9" s="2">
        <v>10</v>
      </c>
      <c r="I9" s="2" t="s">
        <v>97</v>
      </c>
      <c r="J9" s="2" t="s">
        <v>162</v>
      </c>
      <c r="K9" s="2" t="s">
        <v>159</v>
      </c>
      <c r="L9" s="21">
        <v>0.4271047228</v>
      </c>
      <c r="M9" s="22" t="s">
        <v>168</v>
      </c>
      <c r="N9" s="22" t="s">
        <v>169</v>
      </c>
      <c r="O9" s="22" t="s">
        <v>179</v>
      </c>
      <c r="P9" s="10" t="s">
        <v>145</v>
      </c>
      <c r="Q9" s="10" t="s">
        <v>165</v>
      </c>
      <c r="R9" s="10" t="s">
        <v>150</v>
      </c>
      <c r="S9" s="10" t="s">
        <v>152</v>
      </c>
      <c r="T9" s="2" t="s">
        <v>99</v>
      </c>
    </row>
    <row r="10" spans="1:21" ht="15" customHeight="1" x14ac:dyDescent="0.25">
      <c r="A10" s="2" t="s">
        <v>88</v>
      </c>
      <c r="B10" s="2">
        <v>3001167</v>
      </c>
      <c r="C10" s="4">
        <v>367</v>
      </c>
      <c r="D10" s="9">
        <v>10</v>
      </c>
      <c r="E10" s="9">
        <v>10</v>
      </c>
      <c r="F10" s="9">
        <v>10</v>
      </c>
      <c r="G10" s="9">
        <v>10</v>
      </c>
      <c r="H10" s="9">
        <v>10</v>
      </c>
      <c r="I10" s="2" t="s">
        <v>96</v>
      </c>
      <c r="J10" s="2" t="s">
        <v>162</v>
      </c>
      <c r="K10" s="2" t="s">
        <v>158</v>
      </c>
      <c r="L10" s="21">
        <v>0.4298425736</v>
      </c>
      <c r="M10" s="22" t="s">
        <v>168</v>
      </c>
      <c r="N10" s="22" t="s">
        <v>169</v>
      </c>
      <c r="O10" s="22" t="s">
        <v>179</v>
      </c>
      <c r="P10" s="10" t="s">
        <v>145</v>
      </c>
      <c r="Q10" s="10" t="s">
        <v>164</v>
      </c>
      <c r="R10" s="10" t="s">
        <v>150</v>
      </c>
      <c r="S10" s="10" t="s">
        <v>152</v>
      </c>
      <c r="T10" s="2" t="s">
        <v>99</v>
      </c>
    </row>
    <row r="11" spans="1:21" x14ac:dyDescent="0.25">
      <c r="A11" s="2" t="s">
        <v>88</v>
      </c>
      <c r="B11" s="2">
        <v>3001338</v>
      </c>
      <c r="C11" s="4">
        <v>403</v>
      </c>
      <c r="D11" s="2">
        <v>10</v>
      </c>
      <c r="E11" s="2">
        <v>10</v>
      </c>
      <c r="F11" s="2">
        <v>10</v>
      </c>
      <c r="G11" s="2">
        <v>10</v>
      </c>
      <c r="H11" s="2">
        <v>10</v>
      </c>
      <c r="I11" s="2" t="s">
        <v>97</v>
      </c>
      <c r="J11" s="2" t="s">
        <v>162</v>
      </c>
      <c r="K11" s="2" t="s">
        <v>159</v>
      </c>
      <c r="L11" s="21">
        <v>0.44079397669999998</v>
      </c>
      <c r="M11" s="22" t="s">
        <v>168</v>
      </c>
      <c r="N11" s="22" t="s">
        <v>169</v>
      </c>
      <c r="O11" s="22" t="s">
        <v>179</v>
      </c>
      <c r="P11" s="10" t="s">
        <v>145</v>
      </c>
      <c r="Q11" s="10" t="s">
        <v>165</v>
      </c>
      <c r="R11" s="10" t="s">
        <v>150</v>
      </c>
      <c r="S11" s="10" t="s">
        <v>152</v>
      </c>
      <c r="T11" s="2" t="s">
        <v>99</v>
      </c>
    </row>
    <row r="12" spans="1:21" x14ac:dyDescent="0.25">
      <c r="A12" s="2" t="s">
        <v>88</v>
      </c>
      <c r="B12" s="2">
        <v>2001329</v>
      </c>
      <c r="C12" s="4">
        <v>185</v>
      </c>
      <c r="D12" s="9">
        <v>10</v>
      </c>
      <c r="E12" s="9">
        <v>10</v>
      </c>
      <c r="F12" s="9">
        <v>10</v>
      </c>
      <c r="G12" s="9">
        <v>10</v>
      </c>
      <c r="H12" s="9">
        <v>10</v>
      </c>
      <c r="I12" s="2" t="s">
        <v>98</v>
      </c>
      <c r="J12" s="2" t="s">
        <v>162</v>
      </c>
      <c r="K12" s="2" t="s">
        <v>157</v>
      </c>
      <c r="L12" s="21">
        <v>0.43805612589999998</v>
      </c>
      <c r="M12" s="22" t="s">
        <v>168</v>
      </c>
      <c r="N12" s="22" t="s">
        <v>169</v>
      </c>
      <c r="O12" s="22" t="s">
        <v>179</v>
      </c>
      <c r="P12" s="10" t="s">
        <v>145</v>
      </c>
      <c r="Q12" s="10" t="s">
        <v>164</v>
      </c>
      <c r="R12" s="10" t="s">
        <v>150</v>
      </c>
      <c r="S12" s="10" t="s">
        <v>151</v>
      </c>
      <c r="T12" s="2" t="s">
        <v>90</v>
      </c>
    </row>
    <row r="13" spans="1:21" x14ac:dyDescent="0.25">
      <c r="A13" s="2" t="s">
        <v>88</v>
      </c>
      <c r="B13" s="2">
        <v>3001260</v>
      </c>
      <c r="C13" s="4">
        <v>389</v>
      </c>
      <c r="D13" s="9">
        <v>10</v>
      </c>
      <c r="E13" s="9">
        <v>10</v>
      </c>
      <c r="F13" s="9">
        <v>10</v>
      </c>
      <c r="G13" s="9">
        <v>10</v>
      </c>
      <c r="H13" s="9">
        <v>10</v>
      </c>
      <c r="I13" s="2" t="s">
        <v>97</v>
      </c>
      <c r="J13" s="2" t="s">
        <v>162</v>
      </c>
      <c r="K13" s="2" t="s">
        <v>159</v>
      </c>
      <c r="L13" s="21">
        <v>0.44353182749999998</v>
      </c>
      <c r="M13" s="22" t="s">
        <v>168</v>
      </c>
      <c r="N13" s="22" t="s">
        <v>169</v>
      </c>
      <c r="O13" s="22" t="s">
        <v>179</v>
      </c>
      <c r="P13" s="10" t="s">
        <v>145</v>
      </c>
      <c r="Q13" s="10" t="s">
        <v>164</v>
      </c>
      <c r="R13" s="10" t="s">
        <v>150</v>
      </c>
      <c r="S13" s="10" t="s">
        <v>152</v>
      </c>
      <c r="T13" s="2" t="s">
        <v>99</v>
      </c>
    </row>
    <row r="14" spans="1:21" x14ac:dyDescent="0.25">
      <c r="A14" s="2" t="s">
        <v>88</v>
      </c>
      <c r="B14" s="2">
        <v>3001261</v>
      </c>
      <c r="C14" s="4">
        <v>391</v>
      </c>
      <c r="D14" s="9">
        <v>10</v>
      </c>
      <c r="E14" s="9">
        <v>10</v>
      </c>
      <c r="F14" s="9">
        <v>10</v>
      </c>
      <c r="G14" s="9">
        <v>10</v>
      </c>
      <c r="H14" s="9">
        <v>10</v>
      </c>
      <c r="I14" s="2" t="s">
        <v>97</v>
      </c>
      <c r="J14" s="2" t="s">
        <v>162</v>
      </c>
      <c r="K14" s="2" t="s">
        <v>159</v>
      </c>
      <c r="L14" s="21">
        <v>0.44900752910000002</v>
      </c>
      <c r="M14" s="22" t="s">
        <v>168</v>
      </c>
      <c r="N14" s="22" t="s">
        <v>169</v>
      </c>
      <c r="O14" s="22" t="s">
        <v>179</v>
      </c>
      <c r="P14" s="10" t="s">
        <v>145</v>
      </c>
      <c r="Q14" s="10" t="s">
        <v>165</v>
      </c>
      <c r="R14" s="10" t="s">
        <v>150</v>
      </c>
      <c r="S14" s="10" t="s">
        <v>152</v>
      </c>
      <c r="T14" s="2" t="s">
        <v>99</v>
      </c>
    </row>
    <row r="15" spans="1:21" x14ac:dyDescent="0.25">
      <c r="A15" s="2" t="s">
        <v>88</v>
      </c>
      <c r="B15" s="2">
        <v>3001289</v>
      </c>
      <c r="C15" s="4">
        <v>395</v>
      </c>
      <c r="D15" s="9">
        <v>614.65219999999999</v>
      </c>
      <c r="E15" s="9">
        <v>6179.6959999999999</v>
      </c>
      <c r="F15" s="9">
        <v>630.22479999999996</v>
      </c>
      <c r="G15" s="9">
        <v>460.11470000000003</v>
      </c>
      <c r="H15" s="9">
        <v>100.9735</v>
      </c>
      <c r="I15" s="2" t="s">
        <v>97</v>
      </c>
      <c r="J15" s="2" t="s">
        <v>162</v>
      </c>
      <c r="K15" s="2" t="s">
        <v>159</v>
      </c>
      <c r="L15" s="21">
        <v>0.45448323070000002</v>
      </c>
      <c r="M15" s="22" t="s">
        <v>168</v>
      </c>
      <c r="N15" s="22" t="s">
        <v>169</v>
      </c>
      <c r="O15" s="22" t="s">
        <v>179</v>
      </c>
      <c r="P15" s="10" t="s">
        <v>145</v>
      </c>
      <c r="Q15" s="10" t="s">
        <v>164</v>
      </c>
      <c r="R15" s="10" t="s">
        <v>150</v>
      </c>
      <c r="S15" s="10" t="s">
        <v>152</v>
      </c>
      <c r="T15" s="2" t="s">
        <v>99</v>
      </c>
    </row>
    <row r="16" spans="1:21" x14ac:dyDescent="0.25">
      <c r="A16" s="2" t="s">
        <v>88</v>
      </c>
      <c r="B16" s="2">
        <v>3001190</v>
      </c>
      <c r="C16" s="4">
        <v>375</v>
      </c>
      <c r="D16" s="9">
        <v>10</v>
      </c>
      <c r="E16" s="9">
        <v>10</v>
      </c>
      <c r="F16" s="9">
        <v>10</v>
      </c>
      <c r="G16" s="9">
        <v>10</v>
      </c>
      <c r="H16" s="9">
        <v>10</v>
      </c>
      <c r="I16" s="2" t="s">
        <v>91</v>
      </c>
      <c r="J16" s="2" t="s">
        <v>162</v>
      </c>
      <c r="K16" s="2" t="s">
        <v>159</v>
      </c>
      <c r="L16" s="21">
        <v>0.7145790554</v>
      </c>
      <c r="M16" s="22" t="s">
        <v>168</v>
      </c>
      <c r="N16" s="22" t="s">
        <v>169</v>
      </c>
      <c r="O16" s="22" t="s">
        <v>180</v>
      </c>
      <c r="P16" s="10" t="s">
        <v>146</v>
      </c>
      <c r="Q16" s="10" t="s">
        <v>164</v>
      </c>
      <c r="R16" s="10" t="s">
        <v>150</v>
      </c>
      <c r="S16" s="10" t="s">
        <v>152</v>
      </c>
      <c r="T16" s="2" t="s">
        <v>99</v>
      </c>
    </row>
    <row r="17" spans="1:23" x14ac:dyDescent="0.25">
      <c r="A17" s="2" t="s">
        <v>88</v>
      </c>
      <c r="B17" s="2">
        <v>2001230</v>
      </c>
      <c r="C17" s="4">
        <v>175</v>
      </c>
      <c r="D17" s="9">
        <v>10</v>
      </c>
      <c r="E17" s="9">
        <v>10</v>
      </c>
      <c r="F17" s="9">
        <v>10</v>
      </c>
      <c r="G17" s="9">
        <v>10</v>
      </c>
      <c r="H17" s="9">
        <v>10</v>
      </c>
      <c r="I17" s="2" t="s">
        <v>98</v>
      </c>
      <c r="J17" s="2" t="s">
        <v>162</v>
      </c>
      <c r="K17" s="2" t="s">
        <v>157</v>
      </c>
      <c r="L17" s="21">
        <v>0.49281314170000001</v>
      </c>
      <c r="M17" s="22" t="s">
        <v>168</v>
      </c>
      <c r="N17" s="22" t="s">
        <v>169</v>
      </c>
      <c r="O17" s="22" t="s">
        <v>179</v>
      </c>
      <c r="P17" s="10" t="s">
        <v>145</v>
      </c>
      <c r="Q17" s="10" t="s">
        <v>164</v>
      </c>
      <c r="R17" s="10" t="s">
        <v>150</v>
      </c>
      <c r="S17" s="10" t="s">
        <v>151</v>
      </c>
      <c r="T17" s="2" t="s">
        <v>90</v>
      </c>
    </row>
    <row r="18" spans="1:23" ht="15" customHeight="1" x14ac:dyDescent="0.25">
      <c r="A18" s="2" t="s">
        <v>88</v>
      </c>
      <c r="B18" s="2">
        <v>2001333</v>
      </c>
      <c r="C18" s="4">
        <v>187</v>
      </c>
      <c r="D18" s="9">
        <v>135.75550000000001</v>
      </c>
      <c r="E18" s="9">
        <v>184.8638</v>
      </c>
      <c r="F18" s="9">
        <v>146.51050000000001</v>
      </c>
      <c r="G18" s="9">
        <v>91.182850000000002</v>
      </c>
      <c r="H18" s="9">
        <v>141.49260000000001</v>
      </c>
      <c r="I18" s="2" t="s">
        <v>96</v>
      </c>
      <c r="J18" s="2" t="s">
        <v>162</v>
      </c>
      <c r="K18" s="2" t="s">
        <v>158</v>
      </c>
      <c r="L18" s="21">
        <v>0.42436687200000001</v>
      </c>
      <c r="M18" s="22" t="s">
        <v>168</v>
      </c>
      <c r="N18" s="22" t="s">
        <v>169</v>
      </c>
      <c r="O18" s="22" t="s">
        <v>179</v>
      </c>
      <c r="P18" s="10" t="s">
        <v>145</v>
      </c>
      <c r="Q18" s="10" t="s">
        <v>165</v>
      </c>
      <c r="R18" s="10" t="s">
        <v>150</v>
      </c>
      <c r="S18" s="10" t="s">
        <v>151</v>
      </c>
      <c r="T18" s="2" t="s">
        <v>90</v>
      </c>
      <c r="W18" s="8" t="s">
        <v>93</v>
      </c>
    </row>
    <row r="19" spans="1:23" x14ac:dyDescent="0.25">
      <c r="A19" s="2" t="s">
        <v>88</v>
      </c>
      <c r="B19" s="2">
        <v>3001088</v>
      </c>
      <c r="C19" s="4">
        <v>301</v>
      </c>
      <c r="D19" s="9">
        <v>425.54599999999999</v>
      </c>
      <c r="E19" s="9">
        <v>4844.4740000000002</v>
      </c>
      <c r="F19" s="9">
        <v>1231.74</v>
      </c>
      <c r="G19" s="9">
        <v>397.15859999999998</v>
      </c>
      <c r="H19" s="9">
        <v>156.71469999999999</v>
      </c>
      <c r="I19" s="2" t="s">
        <v>92</v>
      </c>
      <c r="J19" s="2" t="s">
        <v>161</v>
      </c>
      <c r="K19" s="2" t="s">
        <v>157</v>
      </c>
      <c r="L19" s="21">
        <v>1.3442847364999999</v>
      </c>
      <c r="M19" s="22" t="s">
        <v>170</v>
      </c>
      <c r="N19" s="22" t="s">
        <v>169</v>
      </c>
      <c r="O19" s="22"/>
      <c r="P19" s="10" t="s">
        <v>147</v>
      </c>
      <c r="Q19" s="10" t="s">
        <v>164</v>
      </c>
      <c r="R19" s="10" t="s">
        <v>150</v>
      </c>
      <c r="S19" s="10" t="s">
        <v>152</v>
      </c>
      <c r="T19" s="2" t="s">
        <v>99</v>
      </c>
      <c r="V19" s="8" t="s">
        <v>93</v>
      </c>
    </row>
    <row r="20" spans="1:23" x14ac:dyDescent="0.25">
      <c r="A20" s="2" t="s">
        <v>88</v>
      </c>
      <c r="B20" s="2">
        <v>3001047</v>
      </c>
      <c r="C20" s="4">
        <v>245</v>
      </c>
      <c r="D20" s="9">
        <v>199.75829999999999</v>
      </c>
      <c r="E20" s="9">
        <v>4319.5309999999999</v>
      </c>
      <c r="F20" s="9">
        <v>591.75490000000002</v>
      </c>
      <c r="G20" s="9">
        <v>173.25470000000001</v>
      </c>
      <c r="H20" s="9">
        <v>126.0403</v>
      </c>
      <c r="I20" s="2" t="s">
        <v>92</v>
      </c>
      <c r="J20" s="2" t="s">
        <v>161</v>
      </c>
      <c r="K20" s="2" t="s">
        <v>157</v>
      </c>
      <c r="L20" s="21">
        <v>1.839835729</v>
      </c>
      <c r="M20" s="22" t="s">
        <v>170</v>
      </c>
      <c r="N20" s="22" t="s">
        <v>169</v>
      </c>
      <c r="O20" s="22"/>
      <c r="P20" s="10" t="s">
        <v>147</v>
      </c>
      <c r="Q20" s="10" t="s">
        <v>164</v>
      </c>
      <c r="R20" s="10" t="s">
        <v>150</v>
      </c>
      <c r="S20" s="10" t="s">
        <v>152</v>
      </c>
      <c r="T20" s="2" t="s">
        <v>99</v>
      </c>
    </row>
    <row r="21" spans="1:23" x14ac:dyDescent="0.25">
      <c r="A21" s="2" t="s">
        <v>88</v>
      </c>
      <c r="B21" s="2">
        <v>3001028</v>
      </c>
      <c r="C21" s="4">
        <v>231</v>
      </c>
      <c r="D21" s="9">
        <v>10</v>
      </c>
      <c r="E21" s="9">
        <v>10</v>
      </c>
      <c r="F21" s="9">
        <v>10</v>
      </c>
      <c r="G21" s="9">
        <v>10</v>
      </c>
      <c r="H21" s="9">
        <v>10</v>
      </c>
      <c r="I21" s="2" t="s">
        <v>89</v>
      </c>
      <c r="J21" s="2" t="s">
        <v>162</v>
      </c>
      <c r="K21" s="2" t="s">
        <v>157</v>
      </c>
      <c r="L21" s="21">
        <v>1.9548254620000001</v>
      </c>
      <c r="M21" s="22" t="s">
        <v>170</v>
      </c>
      <c r="N21" s="22" t="s">
        <v>169</v>
      </c>
      <c r="O21" s="22"/>
      <c r="P21" s="10" t="s">
        <v>147</v>
      </c>
      <c r="Q21" s="10" t="s">
        <v>164</v>
      </c>
      <c r="R21" s="10" t="s">
        <v>150</v>
      </c>
      <c r="S21" s="10" t="s">
        <v>152</v>
      </c>
      <c r="T21" s="2" t="s">
        <v>99</v>
      </c>
    </row>
    <row r="22" spans="1:23" x14ac:dyDescent="0.25">
      <c r="A22" s="2" t="s">
        <v>88</v>
      </c>
      <c r="B22" s="2">
        <v>2001075</v>
      </c>
      <c r="C22" s="4">
        <v>103</v>
      </c>
      <c r="D22" s="9">
        <v>693.09799999999996</v>
      </c>
      <c r="E22" s="9">
        <v>5212.402</v>
      </c>
      <c r="F22" s="9">
        <v>1441.067</v>
      </c>
      <c r="G22" s="9">
        <v>852.46169999999995</v>
      </c>
      <c r="H22" s="9">
        <v>825.73360000000002</v>
      </c>
      <c r="I22" s="2" t="s">
        <v>92</v>
      </c>
      <c r="J22" s="2" t="s">
        <v>161</v>
      </c>
      <c r="K22" s="2" t="s">
        <v>157</v>
      </c>
      <c r="L22" s="21">
        <v>1.015742642</v>
      </c>
      <c r="M22" s="22" t="s">
        <v>170</v>
      </c>
      <c r="N22" s="22" t="s">
        <v>169</v>
      </c>
      <c r="O22" s="22"/>
      <c r="P22" s="10" t="s">
        <v>147</v>
      </c>
      <c r="Q22" s="10" t="s">
        <v>164</v>
      </c>
      <c r="R22" s="10" t="s">
        <v>150</v>
      </c>
      <c r="S22" s="10" t="s">
        <v>151</v>
      </c>
      <c r="T22" s="2" t="s">
        <v>90</v>
      </c>
    </row>
    <row r="23" spans="1:23" ht="15" customHeight="1" x14ac:dyDescent="0.25">
      <c r="A23" s="2" t="s">
        <v>88</v>
      </c>
      <c r="B23" s="2">
        <v>2001248</v>
      </c>
      <c r="C23" s="4">
        <v>177</v>
      </c>
      <c r="D23" s="9">
        <v>10</v>
      </c>
      <c r="E23" s="9">
        <v>10</v>
      </c>
      <c r="F23" s="9">
        <v>10</v>
      </c>
      <c r="G23" s="9">
        <v>10</v>
      </c>
      <c r="H23" s="9">
        <v>10</v>
      </c>
      <c r="I23" s="2" t="s">
        <v>96</v>
      </c>
      <c r="J23" s="2" t="s">
        <v>162</v>
      </c>
      <c r="K23" s="2" t="s">
        <v>158</v>
      </c>
      <c r="L23" s="21">
        <v>0.4271047228</v>
      </c>
      <c r="M23" s="22" t="s">
        <v>168</v>
      </c>
      <c r="N23" s="22" t="s">
        <v>169</v>
      </c>
      <c r="O23" s="22" t="s">
        <v>179</v>
      </c>
      <c r="P23" s="10" t="s">
        <v>145</v>
      </c>
      <c r="Q23" s="10" t="s">
        <v>165</v>
      </c>
      <c r="R23" s="10" t="s">
        <v>150</v>
      </c>
      <c r="S23" s="10" t="s">
        <v>151</v>
      </c>
      <c r="T23" s="2" t="s">
        <v>90</v>
      </c>
    </row>
    <row r="24" spans="1:23" x14ac:dyDescent="0.25">
      <c r="A24" s="2" t="s">
        <v>88</v>
      </c>
      <c r="B24" s="2">
        <v>2001175</v>
      </c>
      <c r="C24" s="4">
        <v>159</v>
      </c>
      <c r="D24" s="9">
        <v>10</v>
      </c>
      <c r="E24" s="9">
        <v>10</v>
      </c>
      <c r="F24" s="9">
        <v>10</v>
      </c>
      <c r="G24" s="9">
        <v>10</v>
      </c>
      <c r="H24" s="9">
        <v>10</v>
      </c>
      <c r="I24" s="2" t="s">
        <v>89</v>
      </c>
      <c r="J24" s="2" t="s">
        <v>162</v>
      </c>
      <c r="K24" s="2" t="s">
        <v>157</v>
      </c>
      <c r="L24" s="21">
        <v>0.67077344279999995</v>
      </c>
      <c r="M24" s="22" t="s">
        <v>168</v>
      </c>
      <c r="N24" s="22" t="s">
        <v>169</v>
      </c>
      <c r="O24" s="22" t="s">
        <v>180</v>
      </c>
      <c r="P24" s="10" t="s">
        <v>146</v>
      </c>
      <c r="Q24" s="10" t="s">
        <v>164</v>
      </c>
      <c r="R24" s="10" t="s">
        <v>150</v>
      </c>
      <c r="S24" s="10" t="s">
        <v>151</v>
      </c>
      <c r="T24" s="2" t="s">
        <v>90</v>
      </c>
    </row>
    <row r="25" spans="1:23" x14ac:dyDescent="0.25">
      <c r="A25" s="2" t="s">
        <v>88</v>
      </c>
      <c r="B25" s="2">
        <v>3001164</v>
      </c>
      <c r="C25" s="4">
        <v>363</v>
      </c>
      <c r="D25" s="9">
        <v>10</v>
      </c>
      <c r="E25" s="9">
        <v>10</v>
      </c>
      <c r="F25" s="9">
        <v>10</v>
      </c>
      <c r="G25" s="9">
        <v>10</v>
      </c>
      <c r="H25" s="9">
        <v>10</v>
      </c>
      <c r="I25" s="2" t="s">
        <v>91</v>
      </c>
      <c r="J25" s="2" t="s">
        <v>162</v>
      </c>
      <c r="K25" s="2" t="s">
        <v>159</v>
      </c>
      <c r="L25" s="21">
        <v>0.72553045859999998</v>
      </c>
      <c r="M25" s="22" t="s">
        <v>168</v>
      </c>
      <c r="N25" s="22" t="s">
        <v>169</v>
      </c>
      <c r="O25" s="22" t="s">
        <v>180</v>
      </c>
      <c r="P25" s="10" t="s">
        <v>146</v>
      </c>
      <c r="Q25" s="10" t="s">
        <v>165</v>
      </c>
      <c r="R25" s="10" t="s">
        <v>150</v>
      </c>
      <c r="S25" s="10" t="s">
        <v>152</v>
      </c>
      <c r="T25" s="2" t="s">
        <v>99</v>
      </c>
    </row>
    <row r="26" spans="1:23" x14ac:dyDescent="0.25">
      <c r="A26" s="2" t="s">
        <v>88</v>
      </c>
      <c r="B26" s="2">
        <v>3001195</v>
      </c>
      <c r="C26" s="4">
        <v>381</v>
      </c>
      <c r="D26" s="9">
        <v>195.239</v>
      </c>
      <c r="E26" s="9">
        <v>6296.3919999999998</v>
      </c>
      <c r="F26" s="9">
        <v>1015.37</v>
      </c>
      <c r="G26" s="9">
        <v>256.49700000000001</v>
      </c>
      <c r="H26" s="9">
        <v>47.60134</v>
      </c>
      <c r="I26" s="2" t="s">
        <v>91</v>
      </c>
      <c r="J26" s="2" t="s">
        <v>162</v>
      </c>
      <c r="K26" s="2" t="s">
        <v>159</v>
      </c>
      <c r="L26" s="21">
        <v>0.8569472964</v>
      </c>
      <c r="M26" s="22" t="s">
        <v>168</v>
      </c>
      <c r="N26" s="22" t="s">
        <v>169</v>
      </c>
      <c r="O26" s="22" t="s">
        <v>180</v>
      </c>
      <c r="P26" s="10" t="s">
        <v>146</v>
      </c>
      <c r="Q26" s="10" t="s">
        <v>164</v>
      </c>
      <c r="R26" s="10" t="s">
        <v>150</v>
      </c>
      <c r="S26" s="10" t="s">
        <v>152</v>
      </c>
      <c r="T26" s="2" t="s">
        <v>99</v>
      </c>
    </row>
    <row r="27" spans="1:23" ht="15" customHeight="1" x14ac:dyDescent="0.25">
      <c r="A27" s="2" t="s">
        <v>88</v>
      </c>
      <c r="B27" s="2">
        <v>2001279</v>
      </c>
      <c r="C27" s="4">
        <v>183</v>
      </c>
      <c r="D27" s="9">
        <v>10</v>
      </c>
      <c r="E27" s="9">
        <v>10</v>
      </c>
      <c r="F27" s="9">
        <v>10</v>
      </c>
      <c r="G27" s="9">
        <v>10</v>
      </c>
      <c r="H27" s="9">
        <v>10</v>
      </c>
      <c r="I27" s="2" t="s">
        <v>96</v>
      </c>
      <c r="J27" s="2" t="s">
        <v>162</v>
      </c>
      <c r="K27" s="2" t="s">
        <v>158</v>
      </c>
      <c r="L27" s="21">
        <v>0.46817248459999999</v>
      </c>
      <c r="M27" s="22" t="s">
        <v>168</v>
      </c>
      <c r="N27" s="22" t="s">
        <v>169</v>
      </c>
      <c r="O27" s="22" t="s">
        <v>179</v>
      </c>
      <c r="P27" s="10" t="s">
        <v>145</v>
      </c>
      <c r="Q27" s="10" t="s">
        <v>164</v>
      </c>
      <c r="R27" s="10" t="s">
        <v>150</v>
      </c>
      <c r="S27" s="10" t="s">
        <v>151</v>
      </c>
      <c r="T27" s="2" t="s">
        <v>90</v>
      </c>
    </row>
    <row r="28" spans="1:23" ht="15" customHeight="1" x14ac:dyDescent="0.25">
      <c r="A28" s="2" t="s">
        <v>88</v>
      </c>
      <c r="B28" s="2">
        <v>2001204</v>
      </c>
      <c r="C28" s="4">
        <v>173</v>
      </c>
      <c r="D28" s="9">
        <v>48.947519999999997</v>
      </c>
      <c r="E28" s="9">
        <v>96.520110000000003</v>
      </c>
      <c r="F28" s="9">
        <v>179.6969</v>
      </c>
      <c r="G28" s="9">
        <v>85.789109999999994</v>
      </c>
      <c r="H28" s="9">
        <v>219.12139999999999</v>
      </c>
      <c r="I28" s="2" t="s">
        <v>96</v>
      </c>
      <c r="J28" s="2" t="s">
        <v>162</v>
      </c>
      <c r="K28" s="2" t="s">
        <v>158</v>
      </c>
      <c r="L28" s="21">
        <v>0.47091033539999999</v>
      </c>
      <c r="M28" s="22" t="s">
        <v>168</v>
      </c>
      <c r="N28" s="22" t="s">
        <v>169</v>
      </c>
      <c r="O28" s="22" t="s">
        <v>179</v>
      </c>
      <c r="P28" s="10" t="s">
        <v>145</v>
      </c>
      <c r="Q28" s="10" t="s">
        <v>164</v>
      </c>
      <c r="R28" s="10" t="s">
        <v>150</v>
      </c>
      <c r="S28" s="10" t="s">
        <v>151</v>
      </c>
      <c r="T28" s="2" t="s">
        <v>90</v>
      </c>
    </row>
    <row r="29" spans="1:23" x14ac:dyDescent="0.25">
      <c r="A29" s="2" t="s">
        <v>88</v>
      </c>
      <c r="B29" s="2">
        <v>2001047</v>
      </c>
      <c r="C29" s="4">
        <v>67</v>
      </c>
      <c r="D29" s="9">
        <v>152.12559999999999</v>
      </c>
      <c r="E29" s="9">
        <v>4753.53</v>
      </c>
      <c r="F29" s="9">
        <v>1666.9280000000001</v>
      </c>
      <c r="G29" s="9">
        <v>615.40350000000001</v>
      </c>
      <c r="H29" s="9">
        <v>120.2927</v>
      </c>
      <c r="I29" s="2" t="s">
        <v>89</v>
      </c>
      <c r="J29" s="2" t="s">
        <v>162</v>
      </c>
      <c r="K29" s="2" t="s">
        <v>157</v>
      </c>
      <c r="L29" s="21">
        <v>1.4620123202999999</v>
      </c>
      <c r="M29" s="22" t="s">
        <v>170</v>
      </c>
      <c r="N29" s="22" t="s">
        <v>169</v>
      </c>
      <c r="O29" s="22"/>
      <c r="P29" s="10" t="s">
        <v>147</v>
      </c>
      <c r="Q29" s="10" t="s">
        <v>164</v>
      </c>
      <c r="R29" s="10" t="s">
        <v>150</v>
      </c>
      <c r="S29" s="10" t="s">
        <v>151</v>
      </c>
      <c r="T29" s="2" t="s">
        <v>90</v>
      </c>
    </row>
    <row r="30" spans="1:23" x14ac:dyDescent="0.25">
      <c r="A30" s="2" t="s">
        <v>88</v>
      </c>
      <c r="B30" s="2">
        <v>2001090</v>
      </c>
      <c r="C30" s="4">
        <v>123</v>
      </c>
      <c r="D30" s="9">
        <v>10</v>
      </c>
      <c r="E30" s="9">
        <v>10</v>
      </c>
      <c r="F30" s="9">
        <v>10</v>
      </c>
      <c r="G30" s="9">
        <v>10</v>
      </c>
      <c r="H30" s="9">
        <v>10</v>
      </c>
      <c r="I30" s="2" t="s">
        <v>89</v>
      </c>
      <c r="J30" s="2" t="s">
        <v>162</v>
      </c>
      <c r="K30" s="2" t="s">
        <v>157</v>
      </c>
      <c r="L30" s="21">
        <v>1.3908281999000001</v>
      </c>
      <c r="M30" s="22" t="s">
        <v>170</v>
      </c>
      <c r="N30" s="22" t="s">
        <v>169</v>
      </c>
      <c r="O30" s="22"/>
      <c r="P30" s="10" t="s">
        <v>147</v>
      </c>
      <c r="Q30" s="10" t="s">
        <v>165</v>
      </c>
      <c r="R30" s="10" t="s">
        <v>150</v>
      </c>
      <c r="S30" s="10" t="s">
        <v>153</v>
      </c>
      <c r="T30" s="2" t="s">
        <v>90</v>
      </c>
    </row>
    <row r="31" spans="1:23" x14ac:dyDescent="0.25">
      <c r="A31" s="2" t="s">
        <v>88</v>
      </c>
      <c r="B31" s="2">
        <v>3001092</v>
      </c>
      <c r="C31" s="4">
        <v>305</v>
      </c>
      <c r="D31" s="9">
        <v>1457.309</v>
      </c>
      <c r="E31" s="9">
        <v>5043.6369999999997</v>
      </c>
      <c r="F31" s="9">
        <v>1465.5609999999999</v>
      </c>
      <c r="G31" s="9">
        <v>1007.591</v>
      </c>
      <c r="H31" s="9">
        <v>1307.7860000000001</v>
      </c>
      <c r="I31" s="2" t="s">
        <v>95</v>
      </c>
      <c r="J31" s="2" t="s">
        <v>161</v>
      </c>
      <c r="K31" s="2" t="s">
        <v>158</v>
      </c>
      <c r="L31" s="21">
        <v>1.7932922656000001</v>
      </c>
      <c r="M31" s="22" t="s">
        <v>170</v>
      </c>
      <c r="N31" s="22" t="s">
        <v>169</v>
      </c>
      <c r="O31" s="22"/>
      <c r="P31" s="10" t="s">
        <v>147</v>
      </c>
      <c r="Q31" s="10" t="s">
        <v>164</v>
      </c>
      <c r="R31" s="10" t="s">
        <v>150</v>
      </c>
      <c r="S31" s="10" t="s">
        <v>153</v>
      </c>
      <c r="T31" s="2" t="s">
        <v>99</v>
      </c>
    </row>
    <row r="32" spans="1:23" x14ac:dyDescent="0.25">
      <c r="A32" s="2" t="s">
        <v>88</v>
      </c>
      <c r="B32" s="2">
        <v>3001145</v>
      </c>
      <c r="C32" s="4">
        <v>355</v>
      </c>
      <c r="D32" s="9">
        <v>97.704999999999998</v>
      </c>
      <c r="E32" s="9">
        <v>126.1301</v>
      </c>
      <c r="F32" s="9">
        <v>174.96090000000001</v>
      </c>
      <c r="G32" s="9">
        <v>229.2371</v>
      </c>
      <c r="H32" s="9">
        <v>123.3227</v>
      </c>
      <c r="I32" s="2" t="s">
        <v>95</v>
      </c>
      <c r="J32" s="2" t="s">
        <v>161</v>
      </c>
      <c r="K32" s="2" t="s">
        <v>158</v>
      </c>
      <c r="L32" s="21">
        <v>1.8535249829</v>
      </c>
      <c r="M32" s="22" t="s">
        <v>170</v>
      </c>
      <c r="N32" s="22" t="s">
        <v>169</v>
      </c>
      <c r="O32" s="22"/>
      <c r="P32" s="10" t="s">
        <v>147</v>
      </c>
      <c r="Q32" s="10" t="s">
        <v>164</v>
      </c>
      <c r="R32" s="10" t="s">
        <v>150</v>
      </c>
      <c r="S32" s="10" t="s">
        <v>152</v>
      </c>
      <c r="T32" s="2" t="s">
        <v>99</v>
      </c>
    </row>
    <row r="33" spans="1:20" x14ac:dyDescent="0.25">
      <c r="A33" s="2" t="s">
        <v>88</v>
      </c>
      <c r="B33" s="2">
        <v>3001118</v>
      </c>
      <c r="C33" s="4">
        <v>329</v>
      </c>
      <c r="D33" s="9">
        <v>10</v>
      </c>
      <c r="E33" s="9">
        <v>10</v>
      </c>
      <c r="F33" s="9">
        <v>10</v>
      </c>
      <c r="G33" s="9">
        <v>10</v>
      </c>
      <c r="H33" s="9">
        <v>10</v>
      </c>
      <c r="I33" s="2" t="s">
        <v>94</v>
      </c>
      <c r="J33" s="2" t="s">
        <v>161</v>
      </c>
      <c r="K33" s="2" t="s">
        <v>159</v>
      </c>
      <c r="L33" s="21">
        <v>1.144421629</v>
      </c>
      <c r="M33" s="22" t="s">
        <v>170</v>
      </c>
      <c r="N33" s="22" t="s">
        <v>169</v>
      </c>
      <c r="O33" s="22"/>
      <c r="P33" s="10" t="s">
        <v>147</v>
      </c>
      <c r="Q33" s="10" t="s">
        <v>164</v>
      </c>
      <c r="R33" s="10" t="s">
        <v>150</v>
      </c>
      <c r="S33" s="10" t="s">
        <v>153</v>
      </c>
      <c r="T33" s="2" t="s">
        <v>99</v>
      </c>
    </row>
    <row r="34" spans="1:20" x14ac:dyDescent="0.25">
      <c r="A34" s="2" t="s">
        <v>88</v>
      </c>
      <c r="B34" s="2">
        <v>3001069</v>
      </c>
      <c r="C34" s="4">
        <v>273</v>
      </c>
      <c r="D34" s="9">
        <v>10</v>
      </c>
      <c r="E34" s="9">
        <v>10</v>
      </c>
      <c r="F34" s="9">
        <v>10</v>
      </c>
      <c r="G34" s="9">
        <v>10</v>
      </c>
      <c r="H34" s="9">
        <v>10</v>
      </c>
      <c r="I34" s="2" t="s">
        <v>94</v>
      </c>
      <c r="J34" s="2" t="s">
        <v>161</v>
      </c>
      <c r="K34" s="2" t="s">
        <v>159</v>
      </c>
      <c r="L34" s="21">
        <v>1.5003422313000001</v>
      </c>
      <c r="M34" s="22" t="s">
        <v>170</v>
      </c>
      <c r="N34" s="22" t="s">
        <v>169</v>
      </c>
      <c r="O34" s="22"/>
      <c r="P34" s="10" t="s">
        <v>147</v>
      </c>
      <c r="Q34" s="10" t="s">
        <v>165</v>
      </c>
      <c r="R34" s="10" t="s">
        <v>150</v>
      </c>
      <c r="S34" s="10" t="s">
        <v>152</v>
      </c>
      <c r="T34" s="2" t="s">
        <v>99</v>
      </c>
    </row>
    <row r="35" spans="1:20" ht="15" customHeight="1" x14ac:dyDescent="0.25">
      <c r="A35" s="2" t="s">
        <v>88</v>
      </c>
      <c r="B35" s="2">
        <v>2001139</v>
      </c>
      <c r="C35" s="4">
        <v>147</v>
      </c>
      <c r="D35" s="9">
        <v>162.90780000000001</v>
      </c>
      <c r="E35" s="9">
        <v>166.20859999999999</v>
      </c>
      <c r="F35" s="9">
        <v>174.3904</v>
      </c>
      <c r="G35" s="9">
        <v>215.0335</v>
      </c>
      <c r="H35" s="9">
        <v>231.5498</v>
      </c>
      <c r="I35" s="2" t="s">
        <v>96</v>
      </c>
      <c r="J35" s="2" t="s">
        <v>162</v>
      </c>
      <c r="K35" s="2" t="s">
        <v>158</v>
      </c>
      <c r="L35" s="21">
        <v>0.49007529090000002</v>
      </c>
      <c r="M35" s="22" t="s">
        <v>168</v>
      </c>
      <c r="N35" s="22" t="s">
        <v>169</v>
      </c>
      <c r="O35" s="22" t="s">
        <v>179</v>
      </c>
      <c r="P35" s="10" t="s">
        <v>145</v>
      </c>
      <c r="Q35" s="10" t="s">
        <v>165</v>
      </c>
      <c r="R35" s="10" t="s">
        <v>150</v>
      </c>
      <c r="S35" s="10" t="s">
        <v>151</v>
      </c>
      <c r="T35" s="2" t="s">
        <v>90</v>
      </c>
    </row>
    <row r="36" spans="1:20" x14ac:dyDescent="0.25">
      <c r="A36" s="2" t="s">
        <v>88</v>
      </c>
      <c r="B36" s="2">
        <v>2001166</v>
      </c>
      <c r="C36" s="4">
        <v>153</v>
      </c>
      <c r="D36" s="9">
        <v>10</v>
      </c>
      <c r="E36" s="9">
        <v>10</v>
      </c>
      <c r="F36" s="9">
        <v>10</v>
      </c>
      <c r="G36" s="9">
        <v>10</v>
      </c>
      <c r="H36" s="9">
        <v>10</v>
      </c>
      <c r="I36" s="2" t="s">
        <v>89</v>
      </c>
      <c r="J36" s="2" t="s">
        <v>162</v>
      </c>
      <c r="K36" s="2" t="s">
        <v>157</v>
      </c>
      <c r="L36" s="21">
        <v>0.84599589320000002</v>
      </c>
      <c r="M36" s="22" t="s">
        <v>168</v>
      </c>
      <c r="N36" s="22" t="s">
        <v>169</v>
      </c>
      <c r="O36" s="22" t="s">
        <v>180</v>
      </c>
      <c r="P36" s="10" t="s">
        <v>146</v>
      </c>
      <c r="Q36" s="10" t="s">
        <v>165</v>
      </c>
      <c r="R36" s="10" t="s">
        <v>150</v>
      </c>
      <c r="S36" s="10" t="s">
        <v>151</v>
      </c>
      <c r="T36" s="2" t="s">
        <v>90</v>
      </c>
    </row>
    <row r="37" spans="1:20" x14ac:dyDescent="0.25">
      <c r="A37" s="2" t="s">
        <v>88</v>
      </c>
      <c r="B37" s="2">
        <v>2001260</v>
      </c>
      <c r="C37" s="4">
        <v>179</v>
      </c>
      <c r="D37" s="9">
        <v>46.155410000000003</v>
      </c>
      <c r="E37" s="9">
        <v>65.976619999999997</v>
      </c>
      <c r="F37" s="9">
        <v>24.88165</v>
      </c>
      <c r="G37" s="9">
        <v>10</v>
      </c>
      <c r="H37" s="9">
        <v>10</v>
      </c>
      <c r="I37" s="2" t="s">
        <v>97</v>
      </c>
      <c r="J37" s="2" t="s">
        <v>162</v>
      </c>
      <c r="K37" s="2" t="s">
        <v>159</v>
      </c>
      <c r="L37" s="21">
        <v>0.41615331960000002</v>
      </c>
      <c r="M37" s="22" t="s">
        <v>168</v>
      </c>
      <c r="N37" s="22" t="s">
        <v>169</v>
      </c>
      <c r="O37" s="22" t="s">
        <v>179</v>
      </c>
      <c r="P37" s="10" t="s">
        <v>145</v>
      </c>
      <c r="Q37" s="10" t="s">
        <v>164</v>
      </c>
      <c r="R37" s="10" t="s">
        <v>150</v>
      </c>
      <c r="S37" s="10" t="s">
        <v>151</v>
      </c>
      <c r="T37" s="2" t="s">
        <v>90</v>
      </c>
    </row>
    <row r="38" spans="1:20" x14ac:dyDescent="0.25">
      <c r="A38" s="2" t="s">
        <v>88</v>
      </c>
      <c r="B38" s="2">
        <v>2001182</v>
      </c>
      <c r="C38" s="4">
        <v>165</v>
      </c>
      <c r="D38" s="9">
        <v>10</v>
      </c>
      <c r="E38" s="9">
        <v>10</v>
      </c>
      <c r="F38" s="9">
        <v>10</v>
      </c>
      <c r="G38" s="9">
        <v>10</v>
      </c>
      <c r="H38" s="9">
        <v>10</v>
      </c>
      <c r="I38" s="2" t="s">
        <v>92</v>
      </c>
      <c r="J38" s="2" t="s">
        <v>161</v>
      </c>
      <c r="K38" s="2" t="s">
        <v>157</v>
      </c>
      <c r="L38" s="21">
        <v>0.86516084869999998</v>
      </c>
      <c r="M38" s="22" t="s">
        <v>168</v>
      </c>
      <c r="N38" s="22" t="s">
        <v>169</v>
      </c>
      <c r="O38" s="22" t="s">
        <v>180</v>
      </c>
      <c r="P38" s="10" t="s">
        <v>146</v>
      </c>
      <c r="Q38" s="10" t="s">
        <v>165</v>
      </c>
      <c r="R38" s="10" t="s">
        <v>150</v>
      </c>
      <c r="S38" s="10" t="s">
        <v>151</v>
      </c>
      <c r="T38" s="2" t="s">
        <v>90</v>
      </c>
    </row>
    <row r="39" spans="1:20" x14ac:dyDescent="0.25">
      <c r="A39" s="2" t="s">
        <v>88</v>
      </c>
      <c r="B39" s="2">
        <v>2001098</v>
      </c>
      <c r="C39" s="4">
        <v>135</v>
      </c>
      <c r="D39" s="9">
        <v>24.52317</v>
      </c>
      <c r="E39" s="9">
        <v>10</v>
      </c>
      <c r="F39" s="9">
        <v>10</v>
      </c>
      <c r="G39" s="9">
        <v>10</v>
      </c>
      <c r="H39" s="9">
        <v>10</v>
      </c>
      <c r="I39" s="2" t="s">
        <v>97</v>
      </c>
      <c r="J39" s="2" t="s">
        <v>162</v>
      </c>
      <c r="K39" s="2" t="s">
        <v>159</v>
      </c>
      <c r="L39" s="21">
        <v>0.44900752910000002</v>
      </c>
      <c r="M39" s="22" t="s">
        <v>168</v>
      </c>
      <c r="N39" s="22" t="s">
        <v>169</v>
      </c>
      <c r="O39" s="22" t="s">
        <v>179</v>
      </c>
      <c r="P39" s="10" t="s">
        <v>145</v>
      </c>
      <c r="Q39" s="10" t="s">
        <v>164</v>
      </c>
      <c r="R39" s="10" t="s">
        <v>150</v>
      </c>
      <c r="S39" s="10" t="s">
        <v>151</v>
      </c>
      <c r="T39" s="2" t="s">
        <v>90</v>
      </c>
    </row>
    <row r="40" spans="1:20" ht="15" customHeight="1" x14ac:dyDescent="0.25">
      <c r="A40" s="2" t="s">
        <v>88</v>
      </c>
      <c r="B40" s="2">
        <v>2001107</v>
      </c>
      <c r="C40" s="4">
        <v>137</v>
      </c>
      <c r="D40" s="9">
        <v>10</v>
      </c>
      <c r="E40" s="9">
        <v>10</v>
      </c>
      <c r="F40" s="9">
        <v>10</v>
      </c>
      <c r="G40" s="9">
        <v>10</v>
      </c>
      <c r="H40" s="9">
        <v>10</v>
      </c>
      <c r="I40" s="2" t="s">
        <v>96</v>
      </c>
      <c r="J40" s="2" t="s">
        <v>162</v>
      </c>
      <c r="K40" s="2" t="s">
        <v>158</v>
      </c>
      <c r="L40" s="21">
        <v>0.70362765230000002</v>
      </c>
      <c r="M40" s="22" t="s">
        <v>168</v>
      </c>
      <c r="N40" s="22" t="s">
        <v>169</v>
      </c>
      <c r="O40" s="22" t="s">
        <v>180</v>
      </c>
      <c r="P40" s="10" t="s">
        <v>146</v>
      </c>
      <c r="Q40" s="10" t="s">
        <v>164</v>
      </c>
      <c r="R40" s="10" t="s">
        <v>150</v>
      </c>
      <c r="S40" s="10" t="s">
        <v>151</v>
      </c>
      <c r="T40" s="2" t="s">
        <v>90</v>
      </c>
    </row>
    <row r="41" spans="1:20" x14ac:dyDescent="0.25">
      <c r="A41" s="2" t="s">
        <v>88</v>
      </c>
      <c r="B41" s="2">
        <v>2001198</v>
      </c>
      <c r="C41" s="4">
        <v>171</v>
      </c>
      <c r="D41" s="9">
        <v>22.468610000000002</v>
      </c>
      <c r="E41" s="9">
        <v>25.181439999999998</v>
      </c>
      <c r="F41" s="9">
        <v>10</v>
      </c>
      <c r="G41" s="9">
        <v>10</v>
      </c>
      <c r="H41" s="9">
        <v>10</v>
      </c>
      <c r="I41" s="2" t="s">
        <v>97</v>
      </c>
      <c r="J41" s="2" t="s">
        <v>162</v>
      </c>
      <c r="K41" s="2" t="s">
        <v>159</v>
      </c>
      <c r="L41" s="21">
        <v>0.45448323070000002</v>
      </c>
      <c r="M41" s="22" t="s">
        <v>168</v>
      </c>
      <c r="N41" s="22" t="s">
        <v>169</v>
      </c>
      <c r="O41" s="22" t="s">
        <v>179</v>
      </c>
      <c r="P41" s="10" t="s">
        <v>145</v>
      </c>
      <c r="Q41" s="10" t="s">
        <v>164</v>
      </c>
      <c r="R41" s="10" t="s">
        <v>150</v>
      </c>
      <c r="S41" s="10" t="s">
        <v>151</v>
      </c>
      <c r="T41" s="2" t="s">
        <v>90</v>
      </c>
    </row>
    <row r="42" spans="1:20" x14ac:dyDescent="0.25">
      <c r="A42" s="2" t="s">
        <v>88</v>
      </c>
      <c r="B42" s="2">
        <v>3001135</v>
      </c>
      <c r="C42" s="4">
        <v>343</v>
      </c>
      <c r="D42" s="9">
        <v>300.83390000000003</v>
      </c>
      <c r="E42" s="9">
        <v>4820.09</v>
      </c>
      <c r="F42" s="9">
        <v>1142.3209999999999</v>
      </c>
      <c r="G42" s="9">
        <v>708.47209999999995</v>
      </c>
      <c r="H42" s="9">
        <v>148.33500000000001</v>
      </c>
      <c r="I42" s="2" t="s">
        <v>94</v>
      </c>
      <c r="J42" s="2" t="s">
        <v>161</v>
      </c>
      <c r="K42" s="2" t="s">
        <v>159</v>
      </c>
      <c r="L42" s="21">
        <v>1.9274469541000001</v>
      </c>
      <c r="M42" s="22" t="s">
        <v>170</v>
      </c>
      <c r="N42" s="22" t="s">
        <v>169</v>
      </c>
      <c r="O42" s="22"/>
      <c r="P42" s="10" t="s">
        <v>147</v>
      </c>
      <c r="Q42" s="10" t="s">
        <v>165</v>
      </c>
      <c r="R42" s="10" t="s">
        <v>150</v>
      </c>
      <c r="S42" s="10" t="s">
        <v>152</v>
      </c>
      <c r="T42" s="2" t="s">
        <v>99</v>
      </c>
    </row>
    <row r="43" spans="1:20" x14ac:dyDescent="0.25">
      <c r="A43" s="2" t="s">
        <v>88</v>
      </c>
      <c r="B43" s="2">
        <v>3001103</v>
      </c>
      <c r="C43" s="4">
        <v>317</v>
      </c>
      <c r="D43" s="9">
        <v>508.16910000000001</v>
      </c>
      <c r="E43" s="9">
        <v>3536.5749999999998</v>
      </c>
      <c r="F43" s="9">
        <v>979.19069999999999</v>
      </c>
      <c r="G43" s="9">
        <v>481.6268</v>
      </c>
      <c r="H43" s="9">
        <v>559.96849999999995</v>
      </c>
      <c r="I43" s="2" t="s">
        <v>94</v>
      </c>
      <c r="J43" s="2" t="s">
        <v>161</v>
      </c>
      <c r="K43" s="2" t="s">
        <v>159</v>
      </c>
      <c r="L43" s="21">
        <v>1.4346338125</v>
      </c>
      <c r="M43" s="22" t="s">
        <v>170</v>
      </c>
      <c r="N43" s="22" t="s">
        <v>169</v>
      </c>
      <c r="O43" s="22"/>
      <c r="P43" s="10" t="s">
        <v>147</v>
      </c>
      <c r="Q43" s="10" t="s">
        <v>164</v>
      </c>
      <c r="R43" s="10" t="s">
        <v>150</v>
      </c>
      <c r="S43" s="10" t="s">
        <v>152</v>
      </c>
      <c r="T43" s="2" t="s">
        <v>99</v>
      </c>
    </row>
    <row r="44" spans="1:20" x14ac:dyDescent="0.25">
      <c r="A44" s="2" t="s">
        <v>88</v>
      </c>
      <c r="B44" s="2">
        <v>3001203</v>
      </c>
      <c r="C44" s="4">
        <v>383</v>
      </c>
      <c r="D44" s="9">
        <v>10</v>
      </c>
      <c r="E44" s="9">
        <v>10</v>
      </c>
      <c r="F44" s="9">
        <v>10</v>
      </c>
      <c r="G44" s="9">
        <v>10</v>
      </c>
      <c r="H44" s="9">
        <v>10</v>
      </c>
      <c r="I44" s="2" t="s">
        <v>92</v>
      </c>
      <c r="J44" s="2" t="s">
        <v>161</v>
      </c>
      <c r="K44" s="2" t="s">
        <v>157</v>
      </c>
      <c r="L44" s="21">
        <v>0.88706365499999995</v>
      </c>
      <c r="M44" s="22" t="s">
        <v>168</v>
      </c>
      <c r="N44" s="22" t="s">
        <v>169</v>
      </c>
      <c r="O44" s="22" t="s">
        <v>180</v>
      </c>
      <c r="P44" s="10" t="s">
        <v>146</v>
      </c>
      <c r="Q44" s="10" t="s">
        <v>164</v>
      </c>
      <c r="R44" s="10" t="s">
        <v>150</v>
      </c>
      <c r="S44" s="10" t="s">
        <v>153</v>
      </c>
      <c r="T44" s="2" t="s">
        <v>99</v>
      </c>
    </row>
    <row r="45" spans="1:20" x14ac:dyDescent="0.25">
      <c r="A45" s="2" t="s">
        <v>88</v>
      </c>
      <c r="B45" s="2">
        <v>3001294</v>
      </c>
      <c r="C45" s="4">
        <v>397</v>
      </c>
      <c r="D45" s="9">
        <v>10</v>
      </c>
      <c r="E45" s="9">
        <v>10</v>
      </c>
      <c r="F45" s="9">
        <v>10</v>
      </c>
      <c r="G45" s="9">
        <v>10</v>
      </c>
      <c r="H45" s="9">
        <v>10</v>
      </c>
      <c r="I45" s="2" t="s">
        <v>98</v>
      </c>
      <c r="J45" s="2" t="s">
        <v>162</v>
      </c>
      <c r="K45" s="2" t="s">
        <v>157</v>
      </c>
      <c r="L45" s="21">
        <v>0.41889117040000001</v>
      </c>
      <c r="M45" s="22" t="s">
        <v>168</v>
      </c>
      <c r="N45" s="22" t="s">
        <v>169</v>
      </c>
      <c r="O45" s="22" t="s">
        <v>179</v>
      </c>
      <c r="P45" s="10" t="s">
        <v>145</v>
      </c>
      <c r="Q45" s="10" t="s">
        <v>165</v>
      </c>
      <c r="R45" s="10" t="s">
        <v>150</v>
      </c>
      <c r="S45" s="10" t="s">
        <v>152</v>
      </c>
      <c r="T45" s="2" t="s">
        <v>99</v>
      </c>
    </row>
    <row r="46" spans="1:20" x14ac:dyDescent="0.25">
      <c r="A46" s="2" t="s">
        <v>88</v>
      </c>
      <c r="B46" s="2">
        <v>2001196</v>
      </c>
      <c r="C46" s="4">
        <v>169</v>
      </c>
      <c r="D46" s="9">
        <v>10</v>
      </c>
      <c r="E46" s="9">
        <v>10</v>
      </c>
      <c r="F46" s="9">
        <v>10</v>
      </c>
      <c r="G46" s="9">
        <v>10</v>
      </c>
      <c r="H46" s="9">
        <v>10</v>
      </c>
      <c r="I46" s="2" t="s">
        <v>91</v>
      </c>
      <c r="J46" s="2" t="s">
        <v>162</v>
      </c>
      <c r="K46" s="2" t="s">
        <v>159</v>
      </c>
      <c r="L46" s="21">
        <v>0.67624914439999995</v>
      </c>
      <c r="M46" s="22" t="s">
        <v>168</v>
      </c>
      <c r="N46" s="22" t="s">
        <v>169</v>
      </c>
      <c r="O46" s="22" t="s">
        <v>180</v>
      </c>
      <c r="P46" s="10" t="s">
        <v>146</v>
      </c>
      <c r="Q46" s="10" t="s">
        <v>165</v>
      </c>
      <c r="R46" s="10" t="s">
        <v>150</v>
      </c>
      <c r="S46" s="10" t="s">
        <v>151</v>
      </c>
      <c r="T46" s="2" t="s">
        <v>90</v>
      </c>
    </row>
    <row r="47" spans="1:20" x14ac:dyDescent="0.25">
      <c r="A47" s="2" t="s">
        <v>88</v>
      </c>
      <c r="B47" s="2">
        <v>3001346</v>
      </c>
      <c r="C47" s="4">
        <v>407</v>
      </c>
      <c r="D47" s="2">
        <v>10</v>
      </c>
      <c r="E47" s="2">
        <v>10</v>
      </c>
      <c r="F47" s="2">
        <v>10</v>
      </c>
      <c r="G47" s="2">
        <v>10</v>
      </c>
      <c r="H47" s="2">
        <v>10</v>
      </c>
      <c r="I47" s="2" t="s">
        <v>98</v>
      </c>
      <c r="J47" s="2" t="s">
        <v>162</v>
      </c>
      <c r="K47" s="2" t="s">
        <v>157</v>
      </c>
      <c r="L47" s="21">
        <v>0.44079397669999998</v>
      </c>
      <c r="M47" s="22" t="s">
        <v>168</v>
      </c>
      <c r="N47" s="22" t="s">
        <v>169</v>
      </c>
      <c r="O47" s="22" t="s">
        <v>179</v>
      </c>
      <c r="P47" s="10" t="s">
        <v>145</v>
      </c>
      <c r="Q47" s="10" t="s">
        <v>165</v>
      </c>
      <c r="R47" s="10" t="s">
        <v>150</v>
      </c>
      <c r="S47" s="10" t="s">
        <v>152</v>
      </c>
      <c r="T47" s="2" t="s">
        <v>99</v>
      </c>
    </row>
    <row r="48" spans="1:20" ht="15" customHeight="1" x14ac:dyDescent="0.25">
      <c r="A48" s="2" t="s">
        <v>88</v>
      </c>
      <c r="B48" s="2">
        <v>3001194</v>
      </c>
      <c r="C48" s="4">
        <v>379</v>
      </c>
      <c r="D48" s="9">
        <v>10</v>
      </c>
      <c r="E48" s="9">
        <v>10</v>
      </c>
      <c r="F48" s="9">
        <v>10</v>
      </c>
      <c r="G48" s="9">
        <v>10</v>
      </c>
      <c r="H48" s="9">
        <v>10</v>
      </c>
      <c r="I48" s="2" t="s">
        <v>96</v>
      </c>
      <c r="J48" s="2" t="s">
        <v>162</v>
      </c>
      <c r="K48" s="2" t="s">
        <v>158</v>
      </c>
      <c r="L48" s="21">
        <v>0.67898699520000005</v>
      </c>
      <c r="M48" s="22" t="s">
        <v>168</v>
      </c>
      <c r="N48" s="22" t="s">
        <v>169</v>
      </c>
      <c r="O48" s="22" t="s">
        <v>180</v>
      </c>
      <c r="P48" s="10" t="s">
        <v>146</v>
      </c>
      <c r="Q48" s="10" t="s">
        <v>164</v>
      </c>
      <c r="R48" s="10" t="s">
        <v>150</v>
      </c>
      <c r="S48" s="10" t="s">
        <v>152</v>
      </c>
      <c r="T48" s="2" t="s">
        <v>99</v>
      </c>
    </row>
    <row r="49" spans="1:27" x14ac:dyDescent="0.25">
      <c r="A49" s="2" t="s">
        <v>88</v>
      </c>
      <c r="B49" s="2">
        <v>3001193</v>
      </c>
      <c r="C49" s="4">
        <v>377</v>
      </c>
      <c r="D49" s="9">
        <v>55.281440000000003</v>
      </c>
      <c r="E49" s="9">
        <v>58.88946</v>
      </c>
      <c r="F49" s="9">
        <v>119.398</v>
      </c>
      <c r="G49" s="9">
        <v>40.662280000000003</v>
      </c>
      <c r="H49" s="9">
        <v>99.252759999999995</v>
      </c>
      <c r="I49" s="2" t="s">
        <v>92</v>
      </c>
      <c r="J49" s="2" t="s">
        <v>161</v>
      </c>
      <c r="K49" s="2" t="s">
        <v>157</v>
      </c>
      <c r="L49" s="21">
        <v>0.68446269680000005</v>
      </c>
      <c r="M49" s="22" t="s">
        <v>168</v>
      </c>
      <c r="N49" s="22" t="s">
        <v>169</v>
      </c>
      <c r="O49" s="22" t="s">
        <v>180</v>
      </c>
      <c r="P49" s="10" t="s">
        <v>146</v>
      </c>
      <c r="Q49" s="10" t="s">
        <v>165</v>
      </c>
      <c r="R49" s="10" t="s">
        <v>150</v>
      </c>
      <c r="S49" s="10" t="s">
        <v>152</v>
      </c>
      <c r="T49" s="2" t="s">
        <v>99</v>
      </c>
    </row>
    <row r="50" spans="1:27" ht="15" customHeight="1" x14ac:dyDescent="0.25">
      <c r="A50" s="2" t="s">
        <v>88</v>
      </c>
      <c r="B50" s="2">
        <v>3001166</v>
      </c>
      <c r="C50" s="4">
        <v>365</v>
      </c>
      <c r="D50" s="9">
        <v>10</v>
      </c>
      <c r="E50" s="9">
        <v>10</v>
      </c>
      <c r="F50" s="9">
        <v>10</v>
      </c>
      <c r="G50" s="9">
        <v>10</v>
      </c>
      <c r="H50" s="9">
        <v>10</v>
      </c>
      <c r="I50" s="2" t="s">
        <v>96</v>
      </c>
      <c r="J50" s="2" t="s">
        <v>162</v>
      </c>
      <c r="K50" s="2" t="s">
        <v>158</v>
      </c>
      <c r="L50" s="21">
        <v>0.68720054760000004</v>
      </c>
      <c r="M50" s="22" t="s">
        <v>168</v>
      </c>
      <c r="N50" s="22" t="s">
        <v>169</v>
      </c>
      <c r="O50" s="22" t="s">
        <v>180</v>
      </c>
      <c r="P50" s="10" t="s">
        <v>146</v>
      </c>
      <c r="Q50" s="10" t="s">
        <v>165</v>
      </c>
      <c r="R50" s="10" t="s">
        <v>150</v>
      </c>
      <c r="S50" s="10" t="s">
        <v>152</v>
      </c>
      <c r="T50" s="2" t="s">
        <v>99</v>
      </c>
    </row>
    <row r="51" spans="1:27" ht="15" customHeight="1" x14ac:dyDescent="0.25">
      <c r="A51" s="2" t="s">
        <v>88</v>
      </c>
      <c r="B51" s="2">
        <v>3001178</v>
      </c>
      <c r="C51" s="4">
        <v>369</v>
      </c>
      <c r="D51" s="9">
        <v>10</v>
      </c>
      <c r="E51" s="9">
        <v>10</v>
      </c>
      <c r="F51" s="9">
        <v>10</v>
      </c>
      <c r="G51" s="9">
        <v>10</v>
      </c>
      <c r="H51" s="9">
        <v>10</v>
      </c>
      <c r="I51" s="2" t="s">
        <v>96</v>
      </c>
      <c r="J51" s="2" t="s">
        <v>162</v>
      </c>
      <c r="K51" s="2" t="s">
        <v>158</v>
      </c>
      <c r="L51" s="21">
        <v>0.70362765230000002</v>
      </c>
      <c r="M51" s="22" t="s">
        <v>168</v>
      </c>
      <c r="N51" s="22" t="s">
        <v>169</v>
      </c>
      <c r="O51" s="22" t="s">
        <v>180</v>
      </c>
      <c r="P51" s="10" t="s">
        <v>146</v>
      </c>
      <c r="Q51" s="10" t="s">
        <v>165</v>
      </c>
      <c r="R51" s="10" t="s">
        <v>150</v>
      </c>
      <c r="S51" s="10" t="s">
        <v>152</v>
      </c>
      <c r="T51" s="2" t="s">
        <v>99</v>
      </c>
    </row>
    <row r="52" spans="1:27" x14ac:dyDescent="0.25">
      <c r="A52" s="2" t="s">
        <v>88</v>
      </c>
      <c r="B52" s="2">
        <v>3001204</v>
      </c>
      <c r="C52" s="4">
        <v>385</v>
      </c>
      <c r="D52" s="9">
        <v>10</v>
      </c>
      <c r="E52" s="9">
        <v>10</v>
      </c>
      <c r="F52" s="9">
        <v>10</v>
      </c>
      <c r="G52" s="9">
        <v>10</v>
      </c>
      <c r="H52" s="9">
        <v>10</v>
      </c>
      <c r="I52" s="2" t="s">
        <v>89</v>
      </c>
      <c r="J52" s="2" t="s">
        <v>162</v>
      </c>
      <c r="K52" s="2" t="s">
        <v>157</v>
      </c>
      <c r="L52" s="21">
        <v>0.71184120470000001</v>
      </c>
      <c r="M52" s="22" t="s">
        <v>168</v>
      </c>
      <c r="N52" s="22" t="s">
        <v>169</v>
      </c>
      <c r="O52" s="22" t="s">
        <v>180</v>
      </c>
      <c r="P52" s="10" t="s">
        <v>146</v>
      </c>
      <c r="Q52" s="10" t="s">
        <v>165</v>
      </c>
      <c r="R52" s="10" t="s">
        <v>150</v>
      </c>
      <c r="S52" s="10" t="s">
        <v>152</v>
      </c>
      <c r="T52" s="2" t="s">
        <v>99</v>
      </c>
    </row>
    <row r="53" spans="1:27" x14ac:dyDescent="0.25">
      <c r="A53" s="2" t="s">
        <v>88</v>
      </c>
      <c r="B53" s="2">
        <v>2001179</v>
      </c>
      <c r="C53" s="4">
        <v>163</v>
      </c>
      <c r="D53" s="9">
        <v>10</v>
      </c>
      <c r="E53" s="9">
        <v>10</v>
      </c>
      <c r="F53" s="9">
        <v>10</v>
      </c>
      <c r="G53" s="9">
        <v>10</v>
      </c>
      <c r="H53" s="9">
        <v>10</v>
      </c>
      <c r="I53" s="2" t="s">
        <v>91</v>
      </c>
      <c r="J53" s="2" t="s">
        <v>162</v>
      </c>
      <c r="K53" s="2" t="s">
        <v>159</v>
      </c>
      <c r="L53" s="21">
        <v>0.83778234090000003</v>
      </c>
      <c r="M53" s="22" t="s">
        <v>168</v>
      </c>
      <c r="N53" s="22" t="s">
        <v>169</v>
      </c>
      <c r="O53" s="22" t="s">
        <v>180</v>
      </c>
      <c r="P53" s="10" t="s">
        <v>146</v>
      </c>
      <c r="Q53" s="10" t="s">
        <v>165</v>
      </c>
      <c r="R53" s="10" t="s">
        <v>150</v>
      </c>
      <c r="S53" s="10" t="s">
        <v>151</v>
      </c>
      <c r="T53" s="2" t="s">
        <v>90</v>
      </c>
    </row>
    <row r="54" spans="1:27" x14ac:dyDescent="0.25">
      <c r="A54" s="2" t="s">
        <v>88</v>
      </c>
      <c r="B54" s="2">
        <v>3001014</v>
      </c>
      <c r="C54" s="4">
        <v>211</v>
      </c>
      <c r="D54" s="9">
        <v>108.2967</v>
      </c>
      <c r="E54" s="9">
        <v>4638.0020000000004</v>
      </c>
      <c r="F54" s="9">
        <v>574.48030000000006</v>
      </c>
      <c r="G54" s="9">
        <v>915.83920000000001</v>
      </c>
      <c r="H54" s="9">
        <v>53.014069999999997</v>
      </c>
      <c r="I54" s="2" t="s">
        <v>94</v>
      </c>
      <c r="J54" s="2" t="s">
        <v>161</v>
      </c>
      <c r="K54" s="2" t="s">
        <v>159</v>
      </c>
      <c r="L54" s="21">
        <v>1.6646132786000001</v>
      </c>
      <c r="M54" s="22" t="s">
        <v>170</v>
      </c>
      <c r="N54" s="22" t="s">
        <v>169</v>
      </c>
      <c r="O54" s="22"/>
      <c r="P54" s="10" t="s">
        <v>147</v>
      </c>
      <c r="Q54" s="10" t="s">
        <v>164</v>
      </c>
      <c r="R54" s="10" t="s">
        <v>150</v>
      </c>
      <c r="S54" s="10" t="s">
        <v>152</v>
      </c>
      <c r="T54" s="2" t="s">
        <v>99</v>
      </c>
    </row>
    <row r="55" spans="1:27" x14ac:dyDescent="0.25">
      <c r="A55" s="2" t="s">
        <v>88</v>
      </c>
      <c r="B55" s="2">
        <v>2001076</v>
      </c>
      <c r="C55" s="4">
        <v>105</v>
      </c>
      <c r="D55" s="9">
        <v>10</v>
      </c>
      <c r="E55" s="9">
        <v>10</v>
      </c>
      <c r="F55" s="9">
        <v>10</v>
      </c>
      <c r="G55" s="9">
        <v>10</v>
      </c>
      <c r="H55" s="9">
        <v>10</v>
      </c>
      <c r="I55" s="2" t="s">
        <v>91</v>
      </c>
      <c r="J55" s="2" t="s">
        <v>162</v>
      </c>
      <c r="K55" s="2" t="s">
        <v>159</v>
      </c>
      <c r="L55" s="21">
        <v>1.1690622861</v>
      </c>
      <c r="M55" s="22" t="s">
        <v>170</v>
      </c>
      <c r="N55" s="22" t="s">
        <v>169</v>
      </c>
      <c r="O55" s="22"/>
      <c r="P55" s="10" t="s">
        <v>147</v>
      </c>
      <c r="Q55" s="10" t="s">
        <v>165</v>
      </c>
      <c r="R55" s="10" t="s">
        <v>150</v>
      </c>
      <c r="S55" s="10" t="s">
        <v>151</v>
      </c>
      <c r="T55" s="2" t="s">
        <v>90</v>
      </c>
    </row>
    <row r="56" spans="1:27" x14ac:dyDescent="0.25">
      <c r="A56" s="2" t="s">
        <v>88</v>
      </c>
      <c r="B56" s="2">
        <v>2001083</v>
      </c>
      <c r="C56" s="4">
        <v>113</v>
      </c>
      <c r="D56" s="9">
        <v>10</v>
      </c>
      <c r="E56" s="9">
        <v>10</v>
      </c>
      <c r="F56" s="9">
        <v>37.409399999999998</v>
      </c>
      <c r="G56" s="9">
        <v>10</v>
      </c>
      <c r="H56" s="9">
        <v>10</v>
      </c>
      <c r="I56" s="2" t="s">
        <v>91</v>
      </c>
      <c r="J56" s="2" t="s">
        <v>162</v>
      </c>
      <c r="K56" s="2" t="s">
        <v>159</v>
      </c>
      <c r="L56" s="21">
        <v>1.9411362081000001</v>
      </c>
      <c r="M56" s="22" t="s">
        <v>170</v>
      </c>
      <c r="N56" s="22" t="s">
        <v>169</v>
      </c>
      <c r="O56" s="22"/>
      <c r="P56" s="10" t="s">
        <v>147</v>
      </c>
      <c r="Q56" s="10" t="s">
        <v>165</v>
      </c>
      <c r="R56" s="10" t="s">
        <v>150</v>
      </c>
      <c r="S56" s="10" t="s">
        <v>151</v>
      </c>
      <c r="T56" s="2" t="s">
        <v>90</v>
      </c>
    </row>
    <row r="57" spans="1:27" x14ac:dyDescent="0.25">
      <c r="A57" s="2" t="s">
        <v>88</v>
      </c>
      <c r="B57" s="2">
        <v>2001068</v>
      </c>
      <c r="C57" s="4">
        <v>91</v>
      </c>
      <c r="D57" s="9">
        <v>801.32989999999995</v>
      </c>
      <c r="E57" s="9">
        <v>4976.9840000000004</v>
      </c>
      <c r="F57" s="9">
        <v>1584.5409999999999</v>
      </c>
      <c r="G57" s="9">
        <v>870.06849999999997</v>
      </c>
      <c r="H57" s="9">
        <v>1119.1199999999999</v>
      </c>
      <c r="I57" s="2" t="s">
        <v>94</v>
      </c>
      <c r="J57" s="2" t="s">
        <v>161</v>
      </c>
      <c r="K57" s="2" t="s">
        <v>159</v>
      </c>
      <c r="L57" s="21">
        <v>1.2292950034000001</v>
      </c>
      <c r="M57" s="22" t="s">
        <v>170</v>
      </c>
      <c r="N57" s="22" t="s">
        <v>169</v>
      </c>
      <c r="O57" s="22"/>
      <c r="P57" s="10" t="s">
        <v>147</v>
      </c>
      <c r="Q57" s="10" t="s">
        <v>164</v>
      </c>
      <c r="R57" s="10" t="s">
        <v>150</v>
      </c>
      <c r="S57" s="10" t="s">
        <v>151</v>
      </c>
      <c r="T57" s="2" t="s">
        <v>90</v>
      </c>
    </row>
    <row r="58" spans="1:27" x14ac:dyDescent="0.25">
      <c r="A58" s="2" t="s">
        <v>88</v>
      </c>
      <c r="B58" s="2">
        <v>2001163</v>
      </c>
      <c r="C58" s="4">
        <v>151</v>
      </c>
      <c r="D58" s="9">
        <v>10</v>
      </c>
      <c r="E58" s="9">
        <v>10</v>
      </c>
      <c r="F58" s="9">
        <v>10</v>
      </c>
      <c r="G58" s="9">
        <v>10</v>
      </c>
      <c r="H58" s="9">
        <v>10</v>
      </c>
      <c r="I58" s="2" t="s">
        <v>94</v>
      </c>
      <c r="J58" s="2" t="s">
        <v>161</v>
      </c>
      <c r="K58" s="2" t="s">
        <v>159</v>
      </c>
      <c r="L58" s="21">
        <v>0.8596851472</v>
      </c>
      <c r="M58" s="22" t="s">
        <v>168</v>
      </c>
      <c r="N58" s="22" t="s">
        <v>169</v>
      </c>
      <c r="O58" s="22" t="s">
        <v>180</v>
      </c>
      <c r="P58" s="10" t="s">
        <v>146</v>
      </c>
      <c r="Q58" s="10" t="s">
        <v>165</v>
      </c>
      <c r="R58" s="10" t="s">
        <v>150</v>
      </c>
      <c r="S58" s="10" t="s">
        <v>153</v>
      </c>
      <c r="T58" s="2" t="s">
        <v>90</v>
      </c>
    </row>
    <row r="59" spans="1:27" x14ac:dyDescent="0.25">
      <c r="A59" s="2" t="s">
        <v>88</v>
      </c>
      <c r="B59" s="2">
        <v>2001062</v>
      </c>
      <c r="C59" s="4">
        <v>83</v>
      </c>
      <c r="D59" s="9">
        <v>43.154429999999998</v>
      </c>
      <c r="E59" s="9">
        <v>627.89189999999996</v>
      </c>
      <c r="F59" s="9">
        <v>43.940089999999998</v>
      </c>
      <c r="G59" s="9">
        <v>43.807360000000003</v>
      </c>
      <c r="H59" s="9">
        <v>33.49427</v>
      </c>
      <c r="I59" s="2" t="s">
        <v>91</v>
      </c>
      <c r="J59" s="2" t="s">
        <v>162</v>
      </c>
      <c r="K59" s="2" t="s">
        <v>159</v>
      </c>
      <c r="L59" s="21">
        <v>1.4647501710999999</v>
      </c>
      <c r="M59" s="22" t="s">
        <v>170</v>
      </c>
      <c r="N59" s="22" t="s">
        <v>169</v>
      </c>
      <c r="O59" s="22"/>
      <c r="P59" s="10" t="s">
        <v>147</v>
      </c>
      <c r="Q59" s="10" t="s">
        <v>164</v>
      </c>
      <c r="R59" s="10" t="s">
        <v>150</v>
      </c>
      <c r="S59" s="10" t="s">
        <v>151</v>
      </c>
      <c r="T59" s="2" t="s">
        <v>90</v>
      </c>
    </row>
    <row r="60" spans="1:27" x14ac:dyDescent="0.25">
      <c r="A60" s="2" t="s">
        <v>88</v>
      </c>
      <c r="B60" s="2">
        <v>2001093</v>
      </c>
      <c r="C60" s="4">
        <v>127</v>
      </c>
      <c r="D60" s="9">
        <v>10</v>
      </c>
      <c r="E60" s="9">
        <v>10</v>
      </c>
      <c r="F60" s="9">
        <v>10</v>
      </c>
      <c r="G60" s="9">
        <v>10</v>
      </c>
      <c r="H60" s="9">
        <v>10</v>
      </c>
      <c r="I60" s="2" t="s">
        <v>91</v>
      </c>
      <c r="J60" s="2" t="s">
        <v>162</v>
      </c>
      <c r="K60" s="2" t="s">
        <v>159</v>
      </c>
      <c r="L60" s="21">
        <v>1.9548254620000001</v>
      </c>
      <c r="M60" s="22" t="s">
        <v>170</v>
      </c>
      <c r="N60" s="22" t="s">
        <v>169</v>
      </c>
      <c r="O60" s="22"/>
      <c r="P60" s="10" t="s">
        <v>147</v>
      </c>
      <c r="Q60" s="10" t="s">
        <v>164</v>
      </c>
      <c r="R60" s="10" t="s">
        <v>150</v>
      </c>
      <c r="S60" s="10" t="s">
        <v>153</v>
      </c>
      <c r="T60" s="2" t="s">
        <v>90</v>
      </c>
    </row>
    <row r="61" spans="1:27" x14ac:dyDescent="0.25">
      <c r="A61" s="2" t="s">
        <v>88</v>
      </c>
      <c r="B61" s="2">
        <v>2001278</v>
      </c>
      <c r="C61" s="4">
        <v>181</v>
      </c>
      <c r="D61" s="9">
        <v>35.909399999999998</v>
      </c>
      <c r="E61" s="9">
        <v>27.186730000000001</v>
      </c>
      <c r="F61" s="9">
        <v>10</v>
      </c>
      <c r="G61" s="9">
        <v>10</v>
      </c>
      <c r="H61" s="9">
        <v>10</v>
      </c>
      <c r="I61" s="2" t="s">
        <v>97</v>
      </c>
      <c r="J61" s="2" t="s">
        <v>162</v>
      </c>
      <c r="K61" s="2" t="s">
        <v>159</v>
      </c>
      <c r="L61" s="21">
        <v>0.4325804244</v>
      </c>
      <c r="M61" s="22" t="s">
        <v>168</v>
      </c>
      <c r="N61" s="22" t="s">
        <v>169</v>
      </c>
      <c r="O61" s="22" t="s">
        <v>179</v>
      </c>
      <c r="P61" s="10" t="s">
        <v>145</v>
      </c>
      <c r="Q61" s="10" t="s">
        <v>164</v>
      </c>
      <c r="R61" s="10" t="s">
        <v>150</v>
      </c>
      <c r="S61" s="10" t="s">
        <v>152</v>
      </c>
      <c r="T61" s="2" t="s">
        <v>90</v>
      </c>
    </row>
    <row r="62" spans="1:27" x14ac:dyDescent="0.25">
      <c r="A62" s="2" t="s">
        <v>88</v>
      </c>
      <c r="B62" s="2">
        <v>3001076</v>
      </c>
      <c r="C62" s="4">
        <v>283</v>
      </c>
      <c r="D62" s="9">
        <v>226.94890000000001</v>
      </c>
      <c r="E62" s="9">
        <v>4016.5230000000001</v>
      </c>
      <c r="F62" s="9">
        <v>1141.682</v>
      </c>
      <c r="G62" s="9">
        <v>319.09690000000001</v>
      </c>
      <c r="H62" s="9">
        <v>261.06689999999998</v>
      </c>
      <c r="I62" s="2" t="s">
        <v>96</v>
      </c>
      <c r="J62" s="2" t="s">
        <v>162</v>
      </c>
      <c r="K62" s="2" t="s">
        <v>158</v>
      </c>
      <c r="L62" s="21">
        <v>2.7378507871000002</v>
      </c>
      <c r="M62" s="22" t="s">
        <v>171</v>
      </c>
      <c r="N62" s="22" t="s">
        <v>172</v>
      </c>
      <c r="O62" s="22"/>
      <c r="P62" s="10" t="s">
        <v>147</v>
      </c>
      <c r="Q62" s="10" t="s">
        <v>165</v>
      </c>
      <c r="R62" s="10" t="s">
        <v>150</v>
      </c>
      <c r="S62" s="10" t="s">
        <v>151</v>
      </c>
      <c r="T62" s="2" t="s">
        <v>99</v>
      </c>
    </row>
    <row r="63" spans="1:27" x14ac:dyDescent="0.25">
      <c r="A63" s="2" t="s">
        <v>88</v>
      </c>
      <c r="B63" s="2">
        <v>3001057</v>
      </c>
      <c r="C63" s="4">
        <v>255</v>
      </c>
      <c r="D63" s="9">
        <v>10</v>
      </c>
      <c r="E63" s="9">
        <v>10</v>
      </c>
      <c r="F63" s="9">
        <v>10</v>
      </c>
      <c r="G63" s="9">
        <v>10</v>
      </c>
      <c r="H63" s="9">
        <v>10</v>
      </c>
      <c r="I63" s="2" t="s">
        <v>94</v>
      </c>
      <c r="J63" s="2" t="s">
        <v>161</v>
      </c>
      <c r="K63" s="2" t="s">
        <v>159</v>
      </c>
      <c r="L63" s="21">
        <v>2.7515400411000002</v>
      </c>
      <c r="M63" s="22" t="s">
        <v>171</v>
      </c>
      <c r="N63" s="22" t="s">
        <v>172</v>
      </c>
      <c r="O63" s="22"/>
      <c r="P63" s="10" t="s">
        <v>147</v>
      </c>
      <c r="Q63" s="10" t="s">
        <v>165</v>
      </c>
      <c r="R63" s="10" t="s">
        <v>150</v>
      </c>
      <c r="S63" s="10" t="s">
        <v>151</v>
      </c>
      <c r="T63" s="2" t="s">
        <v>99</v>
      </c>
    </row>
    <row r="64" spans="1:27" x14ac:dyDescent="0.25">
      <c r="A64" s="2" t="s">
        <v>88</v>
      </c>
      <c r="B64" s="2">
        <v>3001111</v>
      </c>
      <c r="C64" s="4">
        <v>321</v>
      </c>
      <c r="D64" s="9">
        <v>79.364140000000006</v>
      </c>
      <c r="E64" s="9">
        <v>1126.634</v>
      </c>
      <c r="F64" s="9">
        <v>271.10270000000003</v>
      </c>
      <c r="G64" s="9">
        <v>74.894530000000003</v>
      </c>
      <c r="H64" s="9">
        <v>38.039969999999997</v>
      </c>
      <c r="I64" s="2" t="s">
        <v>89</v>
      </c>
      <c r="J64" s="2" t="s">
        <v>162</v>
      </c>
      <c r="K64" s="2" t="s">
        <v>157</v>
      </c>
      <c r="L64" s="21">
        <v>2.2778918549</v>
      </c>
      <c r="M64" s="22" t="s">
        <v>171</v>
      </c>
      <c r="N64" s="22" t="s">
        <v>172</v>
      </c>
      <c r="O64" s="22"/>
      <c r="P64" s="10" t="s">
        <v>147</v>
      </c>
      <c r="Q64" s="10" t="s">
        <v>165</v>
      </c>
      <c r="R64" s="10" t="s">
        <v>150</v>
      </c>
      <c r="S64" s="10" t="s">
        <v>153</v>
      </c>
      <c r="T64" s="2" t="s">
        <v>99</v>
      </c>
      <c r="W64" s="8" t="s">
        <v>93</v>
      </c>
      <c r="X64" s="8" t="s">
        <v>93</v>
      </c>
      <c r="AA64" s="8" t="s">
        <v>93</v>
      </c>
    </row>
    <row r="65" spans="1:26" x14ac:dyDescent="0.25">
      <c r="A65" s="2" t="s">
        <v>88</v>
      </c>
      <c r="B65" s="2">
        <v>3001114</v>
      </c>
      <c r="C65" s="4">
        <v>325</v>
      </c>
      <c r="D65" s="9">
        <v>3410.9769999999999</v>
      </c>
      <c r="E65" s="9">
        <v>4620.5069999999996</v>
      </c>
      <c r="F65" s="9">
        <v>3399.0819999999999</v>
      </c>
      <c r="G65" s="9">
        <v>1842.087</v>
      </c>
      <c r="H65" s="9">
        <v>3333.3679999999999</v>
      </c>
      <c r="I65" s="2" t="s">
        <v>89</v>
      </c>
      <c r="J65" s="2" t="s">
        <v>162</v>
      </c>
      <c r="K65" s="2" t="s">
        <v>157</v>
      </c>
      <c r="L65" s="21">
        <v>3.5455167692999998</v>
      </c>
      <c r="M65" s="22" t="s">
        <v>173</v>
      </c>
      <c r="N65" s="22" t="s">
        <v>172</v>
      </c>
      <c r="O65" s="22"/>
      <c r="P65" s="10" t="s">
        <v>147</v>
      </c>
      <c r="Q65" s="10" t="s">
        <v>165</v>
      </c>
      <c r="R65" s="10" t="s">
        <v>150</v>
      </c>
      <c r="S65" s="10" t="s">
        <v>153</v>
      </c>
      <c r="T65" s="2" t="s">
        <v>99</v>
      </c>
    </row>
    <row r="66" spans="1:26" x14ac:dyDescent="0.25">
      <c r="A66" s="2" t="s">
        <v>88</v>
      </c>
      <c r="B66" s="2">
        <v>3001077</v>
      </c>
      <c r="C66" s="4">
        <v>285</v>
      </c>
      <c r="D66" s="9">
        <v>10</v>
      </c>
      <c r="E66" s="9">
        <v>10</v>
      </c>
      <c r="F66" s="9">
        <v>10</v>
      </c>
      <c r="G66" s="9">
        <v>10</v>
      </c>
      <c r="H66" s="9">
        <v>10</v>
      </c>
      <c r="I66" s="2" t="s">
        <v>96</v>
      </c>
      <c r="J66" s="2" t="s">
        <v>162</v>
      </c>
      <c r="K66" s="2" t="s">
        <v>158</v>
      </c>
      <c r="L66" s="21">
        <v>2.4585900068000002</v>
      </c>
      <c r="M66" s="22" t="s">
        <v>171</v>
      </c>
      <c r="N66" s="22" t="s">
        <v>172</v>
      </c>
      <c r="O66" s="22"/>
      <c r="P66" s="10" t="s">
        <v>147</v>
      </c>
      <c r="Q66" s="10" t="s">
        <v>164</v>
      </c>
      <c r="R66" s="10" t="s">
        <v>150</v>
      </c>
      <c r="S66" s="10" t="s">
        <v>153</v>
      </c>
      <c r="T66" s="2" t="s">
        <v>99</v>
      </c>
    </row>
    <row r="67" spans="1:26" x14ac:dyDescent="0.25">
      <c r="A67" s="2" t="s">
        <v>88</v>
      </c>
      <c r="B67" s="2">
        <v>3001060</v>
      </c>
      <c r="C67" s="4">
        <v>259</v>
      </c>
      <c r="D67" s="9">
        <v>701.50580000000002</v>
      </c>
      <c r="E67" s="9">
        <v>3124.56</v>
      </c>
      <c r="F67" s="9">
        <v>555.16110000000003</v>
      </c>
      <c r="G67" s="9">
        <v>634.75440000000003</v>
      </c>
      <c r="H67" s="9">
        <v>742.74390000000005</v>
      </c>
      <c r="I67" s="2" t="s">
        <v>91</v>
      </c>
      <c r="J67" s="2" t="s">
        <v>162</v>
      </c>
      <c r="K67" s="2" t="s">
        <v>159</v>
      </c>
      <c r="L67" s="21">
        <v>3.1019849418000001</v>
      </c>
      <c r="M67" s="22" t="s">
        <v>173</v>
      </c>
      <c r="N67" s="22" t="s">
        <v>172</v>
      </c>
      <c r="O67" s="22"/>
      <c r="P67" s="10" t="s">
        <v>147</v>
      </c>
      <c r="Q67" s="10" t="s">
        <v>164</v>
      </c>
      <c r="R67" s="10" t="s">
        <v>150</v>
      </c>
      <c r="S67" s="10" t="s">
        <v>153</v>
      </c>
      <c r="T67" s="2" t="s">
        <v>99</v>
      </c>
    </row>
    <row r="68" spans="1:26" x14ac:dyDescent="0.25">
      <c r="A68" s="2" t="s">
        <v>88</v>
      </c>
      <c r="B68" s="2">
        <v>3001053</v>
      </c>
      <c r="C68" s="4">
        <v>249</v>
      </c>
      <c r="D68" s="9">
        <v>220.02539999999999</v>
      </c>
      <c r="E68" s="9">
        <v>2342.6179999999999</v>
      </c>
      <c r="F68" s="9">
        <v>261.7056</v>
      </c>
      <c r="G68" s="9">
        <v>360.53449999999998</v>
      </c>
      <c r="H68" s="9">
        <v>409.7133</v>
      </c>
      <c r="I68" s="2" t="s">
        <v>91</v>
      </c>
      <c r="J68" s="2" t="s">
        <v>162</v>
      </c>
      <c r="K68" s="2" t="s">
        <v>159</v>
      </c>
      <c r="L68" s="21">
        <v>3.7207392197</v>
      </c>
      <c r="M68" s="22" t="s">
        <v>173</v>
      </c>
      <c r="N68" s="22" t="s">
        <v>172</v>
      </c>
      <c r="O68" s="22"/>
      <c r="P68" s="10" t="s">
        <v>147</v>
      </c>
      <c r="Q68" s="10" t="s">
        <v>164</v>
      </c>
      <c r="R68" s="10" t="s">
        <v>150</v>
      </c>
      <c r="S68" s="10" t="s">
        <v>153</v>
      </c>
      <c r="T68" s="2" t="s">
        <v>99</v>
      </c>
      <c r="X68" s="8" t="s">
        <v>93</v>
      </c>
    </row>
    <row r="69" spans="1:26" x14ac:dyDescent="0.25">
      <c r="A69" s="2" t="s">
        <v>88</v>
      </c>
      <c r="B69" s="2">
        <v>3001102</v>
      </c>
      <c r="C69" s="4">
        <v>315</v>
      </c>
      <c r="D69" s="9">
        <v>73.096410000000006</v>
      </c>
      <c r="E69" s="9">
        <v>391.80939999999998</v>
      </c>
      <c r="F69" s="9">
        <v>35.192700000000002</v>
      </c>
      <c r="G69" s="9">
        <v>110.6687</v>
      </c>
      <c r="H69" s="9">
        <v>157.58519999999999</v>
      </c>
      <c r="I69" s="2" t="s">
        <v>95</v>
      </c>
      <c r="J69" s="2" t="s">
        <v>161</v>
      </c>
      <c r="K69" s="2" t="s">
        <v>158</v>
      </c>
      <c r="L69" s="21">
        <v>2.0971937028999998</v>
      </c>
      <c r="M69" s="22" t="s">
        <v>171</v>
      </c>
      <c r="N69" s="22" t="s">
        <v>172</v>
      </c>
      <c r="O69" s="22"/>
      <c r="P69" s="10" t="s">
        <v>147</v>
      </c>
      <c r="Q69" s="10" t="s">
        <v>165</v>
      </c>
      <c r="R69" s="10" t="s">
        <v>150</v>
      </c>
      <c r="S69" s="10" t="s">
        <v>152</v>
      </c>
      <c r="T69" s="2" t="s">
        <v>99</v>
      </c>
    </row>
    <row r="70" spans="1:26" x14ac:dyDescent="0.25">
      <c r="A70" s="2" t="s">
        <v>88</v>
      </c>
      <c r="B70" s="2">
        <v>3001098</v>
      </c>
      <c r="C70" s="4">
        <v>311</v>
      </c>
      <c r="D70" s="9">
        <v>457.83600000000001</v>
      </c>
      <c r="E70" s="9">
        <v>6551.5249999999996</v>
      </c>
      <c r="F70" s="9">
        <v>1674.998</v>
      </c>
      <c r="G70" s="9">
        <v>574.17070000000001</v>
      </c>
      <c r="H70" s="9">
        <v>317.02280000000002</v>
      </c>
      <c r="I70" s="2" t="s">
        <v>92</v>
      </c>
      <c r="J70" s="2" t="s">
        <v>161</v>
      </c>
      <c r="K70" s="2" t="s">
        <v>157</v>
      </c>
      <c r="L70" s="21">
        <v>2.1245722107999998</v>
      </c>
      <c r="M70" s="22" t="s">
        <v>171</v>
      </c>
      <c r="N70" s="22" t="s">
        <v>172</v>
      </c>
      <c r="O70" s="22"/>
      <c r="P70" s="10" t="s">
        <v>147</v>
      </c>
      <c r="Q70" s="10" t="s">
        <v>165</v>
      </c>
      <c r="R70" s="10" t="s">
        <v>150</v>
      </c>
      <c r="S70" s="10" t="s">
        <v>152</v>
      </c>
      <c r="T70" s="2" t="s">
        <v>99</v>
      </c>
    </row>
    <row r="71" spans="1:26" x14ac:dyDescent="0.25">
      <c r="A71" s="2" t="s">
        <v>88</v>
      </c>
      <c r="B71" s="2">
        <v>3001151</v>
      </c>
      <c r="C71" s="4">
        <v>361</v>
      </c>
      <c r="D71" s="9">
        <v>10</v>
      </c>
      <c r="E71" s="9">
        <v>10</v>
      </c>
      <c r="F71" s="9">
        <v>10</v>
      </c>
      <c r="G71" s="9">
        <v>10</v>
      </c>
      <c r="H71" s="9">
        <v>10</v>
      </c>
      <c r="I71" s="2" t="s">
        <v>96</v>
      </c>
      <c r="J71" s="2" t="s">
        <v>162</v>
      </c>
      <c r="K71" s="2" t="s">
        <v>158</v>
      </c>
      <c r="L71" s="21">
        <v>2.2943189596</v>
      </c>
      <c r="M71" s="22" t="s">
        <v>171</v>
      </c>
      <c r="N71" s="22" t="s">
        <v>172</v>
      </c>
      <c r="O71" s="22"/>
      <c r="P71" s="10" t="s">
        <v>147</v>
      </c>
      <c r="Q71" s="10" t="s">
        <v>165</v>
      </c>
      <c r="R71" s="10" t="s">
        <v>150</v>
      </c>
      <c r="S71" s="10" t="s">
        <v>152</v>
      </c>
      <c r="T71" s="2" t="s">
        <v>99</v>
      </c>
    </row>
    <row r="72" spans="1:26" x14ac:dyDescent="0.25">
      <c r="A72" s="2" t="s">
        <v>88</v>
      </c>
      <c r="B72" s="2">
        <v>3001148</v>
      </c>
      <c r="C72" s="4">
        <v>357</v>
      </c>
      <c r="D72" s="9">
        <v>189.92840000000001</v>
      </c>
      <c r="E72" s="9">
        <v>2056.4740000000002</v>
      </c>
      <c r="F72" s="9">
        <v>507.01249999999999</v>
      </c>
      <c r="G72" s="9">
        <v>146.66999999999999</v>
      </c>
      <c r="H72" s="9">
        <v>94.807820000000007</v>
      </c>
      <c r="I72" s="2" t="s">
        <v>92</v>
      </c>
      <c r="J72" s="2" t="s">
        <v>161</v>
      </c>
      <c r="K72" s="2" t="s">
        <v>157</v>
      </c>
      <c r="L72" s="21">
        <v>2.6392881587999999</v>
      </c>
      <c r="M72" s="22" t="s">
        <v>171</v>
      </c>
      <c r="N72" s="22" t="s">
        <v>172</v>
      </c>
      <c r="O72" s="22"/>
      <c r="P72" s="10" t="s">
        <v>147</v>
      </c>
      <c r="Q72" s="10" t="s">
        <v>165</v>
      </c>
      <c r="R72" s="10" t="s">
        <v>150</v>
      </c>
      <c r="S72" s="10" t="s">
        <v>152</v>
      </c>
      <c r="T72" s="2" t="s">
        <v>99</v>
      </c>
    </row>
    <row r="73" spans="1:26" x14ac:dyDescent="0.25">
      <c r="A73" s="2" t="s">
        <v>88</v>
      </c>
      <c r="B73" s="2">
        <v>3001095</v>
      </c>
      <c r="C73" s="4">
        <v>309</v>
      </c>
      <c r="D73" s="9">
        <v>70.609070000000003</v>
      </c>
      <c r="E73" s="9">
        <v>434.21719999999999</v>
      </c>
      <c r="F73" s="9">
        <v>110.58110000000001</v>
      </c>
      <c r="G73" s="9">
        <v>35.521639999999998</v>
      </c>
      <c r="H73" s="9">
        <v>76.228070000000002</v>
      </c>
      <c r="I73" s="2" t="s">
        <v>94</v>
      </c>
      <c r="J73" s="2" t="s">
        <v>161</v>
      </c>
      <c r="K73" s="2" t="s">
        <v>159</v>
      </c>
      <c r="L73" s="21">
        <v>2.7104722792999998</v>
      </c>
      <c r="M73" s="22" t="s">
        <v>171</v>
      </c>
      <c r="N73" s="22" t="s">
        <v>172</v>
      </c>
      <c r="O73" s="22"/>
      <c r="P73" s="10" t="s">
        <v>147</v>
      </c>
      <c r="Q73" s="10" t="s">
        <v>165</v>
      </c>
      <c r="R73" s="10" t="s">
        <v>150</v>
      </c>
      <c r="S73" s="10" t="s">
        <v>152</v>
      </c>
      <c r="T73" s="2" t="s">
        <v>99</v>
      </c>
      <c r="Z73" s="8" t="s">
        <v>93</v>
      </c>
    </row>
    <row r="74" spans="1:26" x14ac:dyDescent="0.25">
      <c r="A74" s="2" t="s">
        <v>88</v>
      </c>
      <c r="B74" s="2">
        <v>3001055</v>
      </c>
      <c r="C74" s="4">
        <v>253</v>
      </c>
      <c r="D74" s="9">
        <v>98.068389999999994</v>
      </c>
      <c r="E74" s="9">
        <v>1013.442</v>
      </c>
      <c r="F74" s="9">
        <v>211.9306</v>
      </c>
      <c r="G74" s="9">
        <v>73.582520000000002</v>
      </c>
      <c r="H74" s="9">
        <v>53.232909999999997</v>
      </c>
      <c r="I74" s="2" t="s">
        <v>96</v>
      </c>
      <c r="J74" s="2" t="s">
        <v>162</v>
      </c>
      <c r="K74" s="2" t="s">
        <v>158</v>
      </c>
      <c r="L74" s="21">
        <v>2.7570157426000002</v>
      </c>
      <c r="M74" s="22" t="s">
        <v>171</v>
      </c>
      <c r="N74" s="22" t="s">
        <v>172</v>
      </c>
      <c r="O74" s="22"/>
      <c r="P74" s="10" t="s">
        <v>147</v>
      </c>
      <c r="Q74" s="10" t="s">
        <v>165</v>
      </c>
      <c r="R74" s="10" t="s">
        <v>150</v>
      </c>
      <c r="S74" s="10" t="s">
        <v>152</v>
      </c>
      <c r="T74" s="2" t="s">
        <v>99</v>
      </c>
    </row>
    <row r="75" spans="1:26" x14ac:dyDescent="0.25">
      <c r="A75" s="2" t="s">
        <v>88</v>
      </c>
      <c r="B75" s="2">
        <v>3001059</v>
      </c>
      <c r="C75" s="4">
        <v>257</v>
      </c>
      <c r="D75" s="9">
        <v>161.49850000000001</v>
      </c>
      <c r="E75" s="9">
        <v>669.06470000000002</v>
      </c>
      <c r="F75" s="9">
        <v>117.50320000000001</v>
      </c>
      <c r="G75" s="9">
        <v>139.8108</v>
      </c>
      <c r="H75" s="9">
        <v>129.0454</v>
      </c>
      <c r="I75" s="2" t="s">
        <v>89</v>
      </c>
      <c r="J75" s="2" t="s">
        <v>162</v>
      </c>
      <c r="K75" s="2" t="s">
        <v>157</v>
      </c>
      <c r="L75" s="21">
        <v>2.7679671458000001</v>
      </c>
      <c r="M75" s="22" t="s">
        <v>171</v>
      </c>
      <c r="N75" s="22" t="s">
        <v>172</v>
      </c>
      <c r="O75" s="22"/>
      <c r="P75" s="10" t="s">
        <v>147</v>
      </c>
      <c r="Q75" s="10" t="s">
        <v>165</v>
      </c>
      <c r="R75" s="10" t="s">
        <v>150</v>
      </c>
      <c r="S75" s="10" t="s">
        <v>152</v>
      </c>
      <c r="T75" s="2" t="s">
        <v>99</v>
      </c>
    </row>
    <row r="76" spans="1:26" x14ac:dyDescent="0.25">
      <c r="A76" s="2" t="s">
        <v>88</v>
      </c>
      <c r="B76" s="2">
        <v>3001122</v>
      </c>
      <c r="C76" s="4">
        <v>331</v>
      </c>
      <c r="D76" s="9">
        <v>1189.202</v>
      </c>
      <c r="E76" s="9">
        <v>18560.12</v>
      </c>
      <c r="F76" s="9">
        <v>3172.2139999999999</v>
      </c>
      <c r="G76" s="9">
        <v>1312.836</v>
      </c>
      <c r="H76" s="9">
        <v>459.18310000000002</v>
      </c>
      <c r="I76" s="2" t="s">
        <v>96</v>
      </c>
      <c r="J76" s="2" t="s">
        <v>162</v>
      </c>
      <c r="K76" s="2" t="s">
        <v>158</v>
      </c>
      <c r="L76" s="21">
        <v>2.8665297741</v>
      </c>
      <c r="M76" s="22" t="s">
        <v>171</v>
      </c>
      <c r="N76" s="22" t="s">
        <v>172</v>
      </c>
      <c r="O76" s="22"/>
      <c r="P76" s="10" t="s">
        <v>147</v>
      </c>
      <c r="Q76" s="10" t="s">
        <v>165</v>
      </c>
      <c r="R76" s="10" t="s">
        <v>150</v>
      </c>
      <c r="S76" s="10" t="s">
        <v>152</v>
      </c>
      <c r="T76" s="2" t="s">
        <v>99</v>
      </c>
    </row>
    <row r="77" spans="1:26" x14ac:dyDescent="0.25">
      <c r="A77" s="2" t="s">
        <v>88</v>
      </c>
      <c r="B77" s="2">
        <v>3001080</v>
      </c>
      <c r="C77" s="4">
        <v>289</v>
      </c>
      <c r="D77" s="9">
        <v>145.82470000000001</v>
      </c>
      <c r="E77" s="9">
        <v>808.12620000000004</v>
      </c>
      <c r="F77" s="9">
        <v>194.8158</v>
      </c>
      <c r="G77" s="9">
        <v>195.01419999999999</v>
      </c>
      <c r="H77" s="9">
        <v>197.71109999999999</v>
      </c>
      <c r="I77" s="2" t="s">
        <v>95</v>
      </c>
      <c r="J77" s="2" t="s">
        <v>161</v>
      </c>
      <c r="K77" s="2" t="s">
        <v>158</v>
      </c>
      <c r="L77" s="21">
        <v>2.9349760437999999</v>
      </c>
      <c r="M77" s="22" t="s">
        <v>171</v>
      </c>
      <c r="N77" s="22" t="s">
        <v>172</v>
      </c>
      <c r="O77" s="22"/>
      <c r="P77" s="10" t="s">
        <v>147</v>
      </c>
      <c r="Q77" s="10" t="s">
        <v>165</v>
      </c>
      <c r="R77" s="10" t="s">
        <v>150</v>
      </c>
      <c r="S77" s="10" t="s">
        <v>152</v>
      </c>
      <c r="T77" s="2" t="s">
        <v>99</v>
      </c>
      <c r="Y77" s="8" t="s">
        <v>93</v>
      </c>
    </row>
    <row r="78" spans="1:26" x14ac:dyDescent="0.25">
      <c r="A78" s="2" t="s">
        <v>88</v>
      </c>
      <c r="B78" s="2">
        <v>3001138</v>
      </c>
      <c r="C78" s="4">
        <v>349</v>
      </c>
      <c r="D78" s="9">
        <v>157.32149999999999</v>
      </c>
      <c r="E78" s="9">
        <v>1873.0619999999999</v>
      </c>
      <c r="F78" s="9">
        <v>502.8252</v>
      </c>
      <c r="G78" s="9">
        <v>134.71100000000001</v>
      </c>
      <c r="H78" s="9">
        <v>47.314079999999997</v>
      </c>
      <c r="I78" s="2" t="s">
        <v>92</v>
      </c>
      <c r="J78" s="2" t="s">
        <v>161</v>
      </c>
      <c r="K78" s="2" t="s">
        <v>157</v>
      </c>
      <c r="L78" s="21">
        <v>3.0691307324000001</v>
      </c>
      <c r="M78" s="22" t="s">
        <v>173</v>
      </c>
      <c r="N78" s="22" t="s">
        <v>172</v>
      </c>
      <c r="O78" s="22"/>
      <c r="P78" s="10" t="s">
        <v>147</v>
      </c>
      <c r="Q78" s="10" t="s">
        <v>165</v>
      </c>
      <c r="R78" s="10" t="s">
        <v>150</v>
      </c>
      <c r="S78" s="10" t="s">
        <v>152</v>
      </c>
      <c r="T78" s="2" t="s">
        <v>99</v>
      </c>
      <c r="X78" s="8" t="s">
        <v>93</v>
      </c>
      <c r="Y78" s="8" t="s">
        <v>93</v>
      </c>
    </row>
    <row r="79" spans="1:26" x14ac:dyDescent="0.25">
      <c r="A79" s="2" t="s">
        <v>88</v>
      </c>
      <c r="B79" s="2">
        <v>3001113</v>
      </c>
      <c r="C79" s="4">
        <v>323</v>
      </c>
      <c r="D79" s="9">
        <v>10</v>
      </c>
      <c r="E79" s="9">
        <v>197.328</v>
      </c>
      <c r="F79" s="9">
        <v>47.619860000000003</v>
      </c>
      <c r="G79" s="9">
        <v>10</v>
      </c>
      <c r="H79" s="9">
        <v>10</v>
      </c>
      <c r="I79" s="2" t="s">
        <v>91</v>
      </c>
      <c r="J79" s="2" t="s">
        <v>162</v>
      </c>
      <c r="K79" s="2" t="s">
        <v>159</v>
      </c>
      <c r="L79" s="21">
        <v>3.0718685832000001</v>
      </c>
      <c r="M79" s="22" t="s">
        <v>173</v>
      </c>
      <c r="N79" s="22" t="s">
        <v>172</v>
      </c>
      <c r="O79" s="22"/>
      <c r="P79" s="10" t="s">
        <v>147</v>
      </c>
      <c r="Q79" s="10" t="s">
        <v>165</v>
      </c>
      <c r="R79" s="10" t="s">
        <v>150</v>
      </c>
      <c r="S79" s="10" t="s">
        <v>152</v>
      </c>
      <c r="T79" s="2" t="s">
        <v>99</v>
      </c>
    </row>
    <row r="80" spans="1:26" x14ac:dyDescent="0.25">
      <c r="A80" s="2" t="s">
        <v>88</v>
      </c>
      <c r="B80" s="2">
        <v>3001023</v>
      </c>
      <c r="C80" s="4">
        <v>225</v>
      </c>
      <c r="D80" s="9">
        <v>2634.0320000000002</v>
      </c>
      <c r="E80" s="9">
        <v>3849.6790000000001</v>
      </c>
      <c r="F80" s="9">
        <v>3458.8330000000001</v>
      </c>
      <c r="G80" s="9">
        <v>916.28129999999999</v>
      </c>
      <c r="H80" s="9">
        <v>2245.3629999999998</v>
      </c>
      <c r="I80" s="2" t="s">
        <v>92</v>
      </c>
      <c r="J80" s="2" t="s">
        <v>161</v>
      </c>
      <c r="K80" s="2" t="s">
        <v>157</v>
      </c>
      <c r="L80" s="21">
        <v>3.1101984942000001</v>
      </c>
      <c r="M80" s="22" t="s">
        <v>173</v>
      </c>
      <c r="N80" s="22" t="s">
        <v>172</v>
      </c>
      <c r="O80" s="22"/>
      <c r="P80" s="10" t="s">
        <v>147</v>
      </c>
      <c r="Q80" s="10" t="s">
        <v>165</v>
      </c>
      <c r="R80" s="10" t="s">
        <v>150</v>
      </c>
      <c r="S80" s="10" t="s">
        <v>152</v>
      </c>
      <c r="T80" s="2" t="s">
        <v>99</v>
      </c>
    </row>
    <row r="81" spans="1:27" x14ac:dyDescent="0.25">
      <c r="A81" s="2" t="s">
        <v>88</v>
      </c>
      <c r="B81" s="2">
        <v>3001110</v>
      </c>
      <c r="C81" s="4">
        <v>319</v>
      </c>
      <c r="D81" s="9">
        <v>131.96260000000001</v>
      </c>
      <c r="E81" s="9">
        <v>1367.9680000000001</v>
      </c>
      <c r="F81" s="9">
        <v>351.6866</v>
      </c>
      <c r="G81" s="9">
        <v>106.19119999999999</v>
      </c>
      <c r="H81" s="9">
        <v>73.369230000000002</v>
      </c>
      <c r="I81" s="2" t="s">
        <v>92</v>
      </c>
      <c r="J81" s="2" t="s">
        <v>161</v>
      </c>
      <c r="K81" s="2" t="s">
        <v>157</v>
      </c>
      <c r="L81" s="21">
        <v>3.3566050650000001</v>
      </c>
      <c r="M81" s="22" t="s">
        <v>173</v>
      </c>
      <c r="N81" s="22" t="s">
        <v>172</v>
      </c>
      <c r="O81" s="22"/>
      <c r="P81" s="10" t="s">
        <v>147</v>
      </c>
      <c r="Q81" s="10" t="s">
        <v>165</v>
      </c>
      <c r="R81" s="10" t="s">
        <v>150</v>
      </c>
      <c r="S81" s="10" t="s">
        <v>152</v>
      </c>
      <c r="T81" s="2" t="s">
        <v>99</v>
      </c>
      <c r="W81" s="8" t="s">
        <v>93</v>
      </c>
      <c r="Y81" s="8" t="s">
        <v>93</v>
      </c>
    </row>
    <row r="82" spans="1:27" x14ac:dyDescent="0.25">
      <c r="A82" s="2" t="s">
        <v>88</v>
      </c>
      <c r="B82" s="2">
        <v>3001011</v>
      </c>
      <c r="C82" s="4">
        <v>207</v>
      </c>
      <c r="D82" s="9">
        <v>951.10379999999998</v>
      </c>
      <c r="E82" s="9">
        <v>9479.777</v>
      </c>
      <c r="F82" s="9">
        <v>3153.16</v>
      </c>
      <c r="G82" s="9">
        <v>1034.731</v>
      </c>
      <c r="H82" s="9">
        <v>421.35129999999998</v>
      </c>
      <c r="I82" s="2" t="s">
        <v>89</v>
      </c>
      <c r="J82" s="2" t="s">
        <v>162</v>
      </c>
      <c r="K82" s="2" t="s">
        <v>157</v>
      </c>
      <c r="L82" s="21">
        <v>3.4606433948999999</v>
      </c>
      <c r="M82" s="22" t="s">
        <v>173</v>
      </c>
      <c r="N82" s="22" t="s">
        <v>172</v>
      </c>
      <c r="O82" s="22"/>
      <c r="P82" s="10" t="s">
        <v>147</v>
      </c>
      <c r="Q82" s="10" t="s">
        <v>165</v>
      </c>
      <c r="R82" s="10" t="s">
        <v>150</v>
      </c>
      <c r="S82" s="10" t="s">
        <v>152</v>
      </c>
      <c r="T82" s="2" t="s">
        <v>99</v>
      </c>
    </row>
    <row r="83" spans="1:27" x14ac:dyDescent="0.25">
      <c r="A83" s="2" t="s">
        <v>88</v>
      </c>
      <c r="B83" s="2">
        <v>3001143</v>
      </c>
      <c r="C83" s="4">
        <v>353</v>
      </c>
      <c r="D83" s="9">
        <v>129.00829999999999</v>
      </c>
      <c r="E83" s="9">
        <v>494.3571</v>
      </c>
      <c r="F83" s="9">
        <v>194.2022</v>
      </c>
      <c r="G83" s="9">
        <v>172.38249999999999</v>
      </c>
      <c r="H83" s="9">
        <v>155.1634</v>
      </c>
      <c r="I83" s="2" t="s">
        <v>94</v>
      </c>
      <c r="J83" s="2" t="s">
        <v>161</v>
      </c>
      <c r="K83" s="2" t="s">
        <v>159</v>
      </c>
      <c r="L83" s="21">
        <v>3.5756331280000002</v>
      </c>
      <c r="M83" s="22" t="s">
        <v>173</v>
      </c>
      <c r="N83" s="22" t="s">
        <v>172</v>
      </c>
      <c r="O83" s="22"/>
      <c r="P83" s="10" t="s">
        <v>147</v>
      </c>
      <c r="Q83" s="10" t="s">
        <v>165</v>
      </c>
      <c r="R83" s="10" t="s">
        <v>150</v>
      </c>
      <c r="S83" s="10" t="s">
        <v>152</v>
      </c>
      <c r="T83" s="2" t="s">
        <v>99</v>
      </c>
    </row>
    <row r="84" spans="1:27" x14ac:dyDescent="0.25">
      <c r="A84" s="2" t="s">
        <v>88</v>
      </c>
      <c r="B84" s="2">
        <v>3001020</v>
      </c>
      <c r="C84" s="4">
        <v>219</v>
      </c>
      <c r="D84" s="9">
        <v>10</v>
      </c>
      <c r="E84" s="9">
        <v>10</v>
      </c>
      <c r="F84" s="9">
        <v>10</v>
      </c>
      <c r="G84" s="9">
        <v>10</v>
      </c>
      <c r="H84" s="9">
        <v>10</v>
      </c>
      <c r="I84" s="2" t="s">
        <v>89</v>
      </c>
      <c r="J84" s="2" t="s">
        <v>162</v>
      </c>
      <c r="K84" s="2" t="s">
        <v>157</v>
      </c>
      <c r="L84" s="21">
        <v>3.6386036961000001</v>
      </c>
      <c r="M84" s="22" t="s">
        <v>173</v>
      </c>
      <c r="N84" s="22" t="s">
        <v>172</v>
      </c>
      <c r="O84" s="22"/>
      <c r="P84" s="10" t="s">
        <v>147</v>
      </c>
      <c r="Q84" s="10" t="s">
        <v>165</v>
      </c>
      <c r="R84" s="10" t="s">
        <v>150</v>
      </c>
      <c r="S84" s="10" t="s">
        <v>152</v>
      </c>
      <c r="T84" s="2" t="s">
        <v>99</v>
      </c>
      <c r="Y84" s="8" t="s">
        <v>93</v>
      </c>
    </row>
    <row r="85" spans="1:27" x14ac:dyDescent="0.25">
      <c r="A85" s="2" t="s">
        <v>88</v>
      </c>
      <c r="B85" s="2">
        <v>3001132</v>
      </c>
      <c r="C85" s="4">
        <v>341</v>
      </c>
      <c r="D85" s="9">
        <v>4276.9359999999997</v>
      </c>
      <c r="E85" s="9">
        <v>8539.94</v>
      </c>
      <c r="F85" s="9">
        <v>5000.5870000000004</v>
      </c>
      <c r="G85" s="9">
        <v>3360.4029999999998</v>
      </c>
      <c r="H85" s="9">
        <v>3494.3530000000001</v>
      </c>
      <c r="I85" s="2" t="s">
        <v>89</v>
      </c>
      <c r="J85" s="2" t="s">
        <v>162</v>
      </c>
      <c r="K85" s="2" t="s">
        <v>157</v>
      </c>
      <c r="L85" s="21">
        <v>3.6714579055000001</v>
      </c>
      <c r="M85" s="22" t="s">
        <v>173</v>
      </c>
      <c r="N85" s="22" t="s">
        <v>172</v>
      </c>
      <c r="O85" s="22"/>
      <c r="P85" s="10" t="s">
        <v>147</v>
      </c>
      <c r="Q85" s="10" t="s">
        <v>165</v>
      </c>
      <c r="R85" s="10" t="s">
        <v>150</v>
      </c>
      <c r="S85" s="10" t="s">
        <v>152</v>
      </c>
      <c r="T85" s="2" t="s">
        <v>99</v>
      </c>
      <c r="X85" s="8" t="s">
        <v>93</v>
      </c>
      <c r="AA85" s="8" t="s">
        <v>93</v>
      </c>
    </row>
    <row r="86" spans="1:27" x14ac:dyDescent="0.25">
      <c r="A86" s="2" t="s">
        <v>88</v>
      </c>
      <c r="B86" s="2">
        <v>3001116</v>
      </c>
      <c r="C86" s="4">
        <v>327</v>
      </c>
      <c r="D86" s="9">
        <v>138.1568</v>
      </c>
      <c r="E86" s="9">
        <v>1439.989</v>
      </c>
      <c r="F86" s="9">
        <v>383.08109999999999</v>
      </c>
      <c r="G86" s="9">
        <v>72.189530000000005</v>
      </c>
      <c r="H86" s="9">
        <v>138.8244</v>
      </c>
      <c r="I86" s="2" t="s">
        <v>92</v>
      </c>
      <c r="J86" s="2" t="s">
        <v>161</v>
      </c>
      <c r="K86" s="2" t="s">
        <v>157</v>
      </c>
      <c r="L86" s="21">
        <v>3.7070499658</v>
      </c>
      <c r="M86" s="22" t="s">
        <v>173</v>
      </c>
      <c r="N86" s="22" t="s">
        <v>172</v>
      </c>
      <c r="O86" s="22"/>
      <c r="P86" s="10" t="s">
        <v>147</v>
      </c>
      <c r="Q86" s="10" t="s">
        <v>165</v>
      </c>
      <c r="R86" s="10" t="s">
        <v>150</v>
      </c>
      <c r="S86" s="10" t="s">
        <v>152</v>
      </c>
      <c r="T86" s="2" t="s">
        <v>99</v>
      </c>
    </row>
    <row r="87" spans="1:27" x14ac:dyDescent="0.25">
      <c r="A87" s="2" t="s">
        <v>88</v>
      </c>
      <c r="B87" s="2">
        <v>3001100</v>
      </c>
      <c r="C87" s="4">
        <v>313</v>
      </c>
      <c r="D87" s="9">
        <v>480.9973</v>
      </c>
      <c r="E87" s="9">
        <v>1782.3910000000001</v>
      </c>
      <c r="F87" s="9">
        <v>316.9427</v>
      </c>
      <c r="G87" s="9">
        <v>609.13909999999998</v>
      </c>
      <c r="H87" s="9">
        <v>307.8193</v>
      </c>
      <c r="I87" s="2" t="s">
        <v>91</v>
      </c>
      <c r="J87" s="2" t="s">
        <v>162</v>
      </c>
      <c r="K87" s="2" t="s">
        <v>159</v>
      </c>
      <c r="L87" s="21">
        <v>3.9342915811000001</v>
      </c>
      <c r="M87" s="22" t="s">
        <v>173</v>
      </c>
      <c r="N87" s="22" t="s">
        <v>172</v>
      </c>
      <c r="O87" s="22"/>
      <c r="P87" s="10" t="s">
        <v>147</v>
      </c>
      <c r="Q87" s="10" t="s">
        <v>165</v>
      </c>
      <c r="R87" s="10" t="s">
        <v>150</v>
      </c>
      <c r="S87" s="10" t="s">
        <v>152</v>
      </c>
      <c r="T87" s="2" t="s">
        <v>99</v>
      </c>
      <c r="Z87" s="8" t="s">
        <v>93</v>
      </c>
    </row>
    <row r="88" spans="1:27" x14ac:dyDescent="0.25">
      <c r="A88" s="2" t="s">
        <v>88</v>
      </c>
      <c r="B88" s="2">
        <v>2001011</v>
      </c>
      <c r="C88" s="4">
        <v>13</v>
      </c>
      <c r="D88" s="9">
        <v>808.41629999999998</v>
      </c>
      <c r="E88" s="9">
        <v>2028.491</v>
      </c>
      <c r="F88" s="9">
        <v>336.6216</v>
      </c>
      <c r="G88" s="9">
        <v>407.25790000000001</v>
      </c>
      <c r="H88" s="9">
        <v>93.650869999999998</v>
      </c>
      <c r="I88" s="2" t="s">
        <v>89</v>
      </c>
      <c r="J88" s="2" t="s">
        <v>162</v>
      </c>
      <c r="K88" s="2" t="s">
        <v>157</v>
      </c>
      <c r="L88" s="21">
        <v>4.8569472963999996</v>
      </c>
      <c r="M88" s="22" t="s">
        <v>174</v>
      </c>
      <c r="N88" s="22" t="s">
        <v>172</v>
      </c>
      <c r="O88" s="22"/>
      <c r="P88" s="10" t="s">
        <v>148</v>
      </c>
      <c r="Q88" s="10" t="s">
        <v>164</v>
      </c>
      <c r="R88" s="10" t="s">
        <v>150</v>
      </c>
      <c r="S88" s="10" t="s">
        <v>151</v>
      </c>
      <c r="T88" s="2" t="s">
        <v>90</v>
      </c>
    </row>
    <row r="89" spans="1:27" x14ac:dyDescent="0.25">
      <c r="A89" s="2" t="s">
        <v>88</v>
      </c>
      <c r="B89" s="2">
        <v>3001005</v>
      </c>
      <c r="C89" s="4">
        <v>197</v>
      </c>
      <c r="D89" s="9">
        <v>1240.3019999999999</v>
      </c>
      <c r="E89" s="9">
        <v>3971.6869999999999</v>
      </c>
      <c r="F89" s="9">
        <v>1010.55</v>
      </c>
      <c r="G89" s="9">
        <v>920.55340000000001</v>
      </c>
      <c r="H89" s="9">
        <v>711.28160000000003</v>
      </c>
      <c r="I89" s="2" t="s">
        <v>92</v>
      </c>
      <c r="J89" s="2" t="s">
        <v>161</v>
      </c>
      <c r="K89" s="2" t="s">
        <v>157</v>
      </c>
      <c r="L89" s="21">
        <v>4.9089664613000004</v>
      </c>
      <c r="M89" s="22" t="s">
        <v>174</v>
      </c>
      <c r="N89" s="22" t="s">
        <v>172</v>
      </c>
      <c r="O89" s="22"/>
      <c r="P89" s="10" t="s">
        <v>148</v>
      </c>
      <c r="Q89" s="10" t="s">
        <v>165</v>
      </c>
      <c r="R89" s="10" t="s">
        <v>150</v>
      </c>
      <c r="S89" s="10" t="s">
        <v>152</v>
      </c>
      <c r="T89" s="2" t="s">
        <v>99</v>
      </c>
    </row>
    <row r="90" spans="1:27" x14ac:dyDescent="0.25">
      <c r="A90" s="2" t="s">
        <v>88</v>
      </c>
      <c r="B90" s="2">
        <v>2001044</v>
      </c>
      <c r="C90" s="4">
        <v>61</v>
      </c>
      <c r="D90" s="9">
        <v>999.52970000000005</v>
      </c>
      <c r="E90" s="9">
        <v>1118.095</v>
      </c>
      <c r="F90" s="9">
        <v>790.08979999999997</v>
      </c>
      <c r="G90" s="9">
        <v>449.3374</v>
      </c>
      <c r="H90" s="9">
        <v>587.37549999999999</v>
      </c>
      <c r="I90" s="2" t="s">
        <v>95</v>
      </c>
      <c r="J90" s="2" t="s">
        <v>161</v>
      </c>
      <c r="K90" s="2" t="s">
        <v>158</v>
      </c>
      <c r="L90" s="21">
        <v>4.3011635866000004</v>
      </c>
      <c r="M90" s="22" t="s">
        <v>174</v>
      </c>
      <c r="N90" s="22" t="s">
        <v>172</v>
      </c>
      <c r="O90" s="22"/>
      <c r="P90" s="10" t="s">
        <v>148</v>
      </c>
      <c r="Q90" s="10" t="s">
        <v>165</v>
      </c>
      <c r="R90" s="10" t="s">
        <v>150</v>
      </c>
      <c r="S90" s="10" t="s">
        <v>151</v>
      </c>
      <c r="T90" s="2" t="s">
        <v>90</v>
      </c>
      <c r="Z90" s="8" t="s">
        <v>93</v>
      </c>
    </row>
    <row r="91" spans="1:27" x14ac:dyDescent="0.25">
      <c r="A91" s="2" t="s">
        <v>88</v>
      </c>
      <c r="B91" s="2">
        <v>2001033</v>
      </c>
      <c r="C91" s="4">
        <v>45</v>
      </c>
      <c r="D91" s="9">
        <v>97.405659999999997</v>
      </c>
      <c r="E91" s="9">
        <v>644.55799999999999</v>
      </c>
      <c r="F91" s="9">
        <v>154.74889999999999</v>
      </c>
      <c r="G91" s="9">
        <v>60.004280000000001</v>
      </c>
      <c r="H91" s="9">
        <v>74.729150000000004</v>
      </c>
      <c r="I91" s="2" t="s">
        <v>96</v>
      </c>
      <c r="J91" s="2" t="s">
        <v>162</v>
      </c>
      <c r="K91" s="2" t="s">
        <v>158</v>
      </c>
      <c r="L91" s="21">
        <v>4.6023271732</v>
      </c>
      <c r="M91" s="22" t="s">
        <v>174</v>
      </c>
      <c r="N91" s="22" t="s">
        <v>172</v>
      </c>
      <c r="O91" s="22"/>
      <c r="P91" s="10" t="s">
        <v>148</v>
      </c>
      <c r="Q91" s="10" t="s">
        <v>165</v>
      </c>
      <c r="R91" s="10" t="s">
        <v>150</v>
      </c>
      <c r="S91" s="10" t="s">
        <v>151</v>
      </c>
      <c r="T91" s="2" t="s">
        <v>90</v>
      </c>
      <c r="Y91" s="8" t="s">
        <v>93</v>
      </c>
    </row>
    <row r="92" spans="1:27" x14ac:dyDescent="0.25">
      <c r="A92" s="2" t="s">
        <v>88</v>
      </c>
      <c r="B92" s="2">
        <v>3001007</v>
      </c>
      <c r="C92" s="4">
        <v>199</v>
      </c>
      <c r="D92" s="9">
        <v>10</v>
      </c>
      <c r="E92" s="9">
        <v>10</v>
      </c>
      <c r="F92" s="9">
        <v>10</v>
      </c>
      <c r="G92" s="9">
        <v>10</v>
      </c>
      <c r="H92" s="9">
        <v>10</v>
      </c>
      <c r="I92" s="2" t="s">
        <v>89</v>
      </c>
      <c r="J92" s="2" t="s">
        <v>162</v>
      </c>
      <c r="K92" s="2" t="s">
        <v>157</v>
      </c>
      <c r="L92" s="21">
        <v>7.4579055441</v>
      </c>
      <c r="M92" s="22" t="s">
        <v>177</v>
      </c>
      <c r="N92" s="22" t="s">
        <v>172</v>
      </c>
      <c r="O92" s="22"/>
      <c r="P92" s="10" t="s">
        <v>148</v>
      </c>
      <c r="Q92" s="10" t="s">
        <v>165</v>
      </c>
      <c r="R92" s="10" t="s">
        <v>150</v>
      </c>
      <c r="S92" s="10" t="s">
        <v>152</v>
      </c>
      <c r="T92" s="2" t="s">
        <v>99</v>
      </c>
    </row>
    <row r="93" spans="1:27" x14ac:dyDescent="0.25">
      <c r="A93" s="2" t="s">
        <v>88</v>
      </c>
      <c r="B93" s="2">
        <v>3001141</v>
      </c>
      <c r="C93" s="4">
        <v>351</v>
      </c>
      <c r="D93" s="9">
        <v>364.92399999999998</v>
      </c>
      <c r="E93" s="9">
        <v>2703.4389999999999</v>
      </c>
      <c r="F93" s="9">
        <v>449.11559999999997</v>
      </c>
      <c r="G93" s="9">
        <v>424.95740000000001</v>
      </c>
      <c r="H93" s="9">
        <v>111.29170000000001</v>
      </c>
      <c r="I93" s="2" t="s">
        <v>95</v>
      </c>
      <c r="J93" s="2" t="s">
        <v>161</v>
      </c>
      <c r="K93" s="2" t="s">
        <v>158</v>
      </c>
      <c r="L93" s="21">
        <v>2.0588637918999999</v>
      </c>
      <c r="M93" s="22" t="s">
        <v>171</v>
      </c>
      <c r="N93" s="22" t="s">
        <v>172</v>
      </c>
      <c r="O93" s="22"/>
      <c r="P93" s="10" t="s">
        <v>147</v>
      </c>
      <c r="Q93" s="10" t="s">
        <v>164</v>
      </c>
      <c r="R93" s="10" t="s">
        <v>150</v>
      </c>
      <c r="S93" s="10" t="s">
        <v>152</v>
      </c>
      <c r="T93" s="2" t="s">
        <v>99</v>
      </c>
    </row>
    <row r="94" spans="1:27" x14ac:dyDescent="0.25">
      <c r="A94" s="2" t="s">
        <v>88</v>
      </c>
      <c r="B94" s="2">
        <v>3001025</v>
      </c>
      <c r="C94" s="4">
        <v>227</v>
      </c>
      <c r="D94" s="9">
        <v>1380.7280000000001</v>
      </c>
      <c r="E94" s="9">
        <v>2611.62</v>
      </c>
      <c r="F94" s="9">
        <v>1959.0530000000001</v>
      </c>
      <c r="G94" s="9">
        <v>309.25880000000001</v>
      </c>
      <c r="H94" s="9">
        <v>418.43799999999999</v>
      </c>
      <c r="I94" s="2" t="s">
        <v>91</v>
      </c>
      <c r="J94" s="2" t="s">
        <v>162</v>
      </c>
      <c r="K94" s="2" t="s">
        <v>159</v>
      </c>
      <c r="L94" s="21">
        <v>2.1218343599999998</v>
      </c>
      <c r="M94" s="22" t="s">
        <v>171</v>
      </c>
      <c r="N94" s="22" t="s">
        <v>172</v>
      </c>
      <c r="O94" s="22"/>
      <c r="P94" s="10" t="s">
        <v>147</v>
      </c>
      <c r="Q94" s="10" t="s">
        <v>164</v>
      </c>
      <c r="R94" s="10" t="s">
        <v>150</v>
      </c>
      <c r="S94" s="10" t="s">
        <v>152</v>
      </c>
      <c r="T94" s="2" t="s">
        <v>99</v>
      </c>
      <c r="X94" s="8" t="s">
        <v>93</v>
      </c>
    </row>
    <row r="95" spans="1:27" x14ac:dyDescent="0.25">
      <c r="A95" s="2" t="s">
        <v>88</v>
      </c>
      <c r="B95" s="2">
        <v>3001078</v>
      </c>
      <c r="C95" s="4">
        <v>287</v>
      </c>
      <c r="D95" s="9">
        <v>10</v>
      </c>
      <c r="E95" s="9">
        <v>10</v>
      </c>
      <c r="F95" s="9">
        <v>10</v>
      </c>
      <c r="G95" s="9">
        <v>10</v>
      </c>
      <c r="H95" s="9">
        <v>10</v>
      </c>
      <c r="I95" s="2" t="s">
        <v>91</v>
      </c>
      <c r="J95" s="2" t="s">
        <v>162</v>
      </c>
      <c r="K95" s="2" t="s">
        <v>159</v>
      </c>
      <c r="L95" s="21">
        <v>2.2340862423000001</v>
      </c>
      <c r="M95" s="22" t="s">
        <v>171</v>
      </c>
      <c r="N95" s="22" t="s">
        <v>172</v>
      </c>
      <c r="O95" s="22"/>
      <c r="P95" s="10" t="s">
        <v>147</v>
      </c>
      <c r="Q95" s="10" t="s">
        <v>164</v>
      </c>
      <c r="R95" s="10" t="s">
        <v>150</v>
      </c>
      <c r="S95" s="10" t="s">
        <v>152</v>
      </c>
      <c r="T95" s="2" t="s">
        <v>99</v>
      </c>
      <c r="X95" s="8" t="s">
        <v>93</v>
      </c>
    </row>
    <row r="96" spans="1:27" x14ac:dyDescent="0.25">
      <c r="A96" s="2" t="s">
        <v>88</v>
      </c>
      <c r="B96" s="2">
        <v>3001019</v>
      </c>
      <c r="C96" s="4">
        <v>217</v>
      </c>
      <c r="D96" s="9">
        <v>49.814439999999998</v>
      </c>
      <c r="E96" s="9">
        <v>943.82590000000005</v>
      </c>
      <c r="F96" s="9">
        <v>142.8837</v>
      </c>
      <c r="G96" s="9">
        <v>64.740920000000003</v>
      </c>
      <c r="H96" s="9">
        <v>10</v>
      </c>
      <c r="I96" s="2" t="s">
        <v>96</v>
      </c>
      <c r="J96" s="2" t="s">
        <v>162</v>
      </c>
      <c r="K96" s="2" t="s">
        <v>158</v>
      </c>
      <c r="L96" s="21">
        <v>2.2450376454000001</v>
      </c>
      <c r="M96" s="22" t="s">
        <v>171</v>
      </c>
      <c r="N96" s="22" t="s">
        <v>172</v>
      </c>
      <c r="O96" s="22"/>
      <c r="P96" s="10" t="s">
        <v>147</v>
      </c>
      <c r="Q96" s="10" t="s">
        <v>164</v>
      </c>
      <c r="R96" s="10" t="s">
        <v>150</v>
      </c>
      <c r="S96" s="10" t="s">
        <v>152</v>
      </c>
      <c r="T96" s="2" t="s">
        <v>99</v>
      </c>
      <c r="X96" s="8" t="s">
        <v>93</v>
      </c>
      <c r="Z96" s="8" t="s">
        <v>93</v>
      </c>
    </row>
    <row r="97" spans="1:27" x14ac:dyDescent="0.25">
      <c r="A97" s="2" t="s">
        <v>88</v>
      </c>
      <c r="B97" s="2">
        <v>3001094</v>
      </c>
      <c r="C97" s="4">
        <v>307</v>
      </c>
      <c r="D97" s="9">
        <v>10</v>
      </c>
      <c r="E97" s="9">
        <v>10</v>
      </c>
      <c r="F97" s="9">
        <v>10</v>
      </c>
      <c r="G97" s="9">
        <v>10</v>
      </c>
      <c r="H97" s="9">
        <v>10</v>
      </c>
      <c r="I97" s="2" t="s">
        <v>96</v>
      </c>
      <c r="J97" s="2" t="s">
        <v>162</v>
      </c>
      <c r="K97" s="2" t="s">
        <v>158</v>
      </c>
      <c r="L97" s="21">
        <v>2.2696783025</v>
      </c>
      <c r="M97" s="22" t="s">
        <v>171</v>
      </c>
      <c r="N97" s="22" t="s">
        <v>172</v>
      </c>
      <c r="O97" s="22"/>
      <c r="P97" s="10" t="s">
        <v>147</v>
      </c>
      <c r="Q97" s="10" t="s">
        <v>164</v>
      </c>
      <c r="R97" s="10" t="s">
        <v>150</v>
      </c>
      <c r="S97" s="10" t="s">
        <v>152</v>
      </c>
      <c r="T97" s="2" t="s">
        <v>99</v>
      </c>
    </row>
    <row r="98" spans="1:27" x14ac:dyDescent="0.25">
      <c r="A98" s="2" t="s">
        <v>88</v>
      </c>
      <c r="B98" s="2">
        <v>3001067</v>
      </c>
      <c r="C98" s="4">
        <v>269</v>
      </c>
      <c r="D98" s="9">
        <v>10</v>
      </c>
      <c r="E98" s="9">
        <v>10</v>
      </c>
      <c r="F98" s="9">
        <v>10</v>
      </c>
      <c r="G98" s="9">
        <v>10</v>
      </c>
      <c r="H98" s="9">
        <v>10</v>
      </c>
      <c r="I98" s="2" t="s">
        <v>89</v>
      </c>
      <c r="J98" s="2" t="s">
        <v>162</v>
      </c>
      <c r="K98" s="2" t="s">
        <v>157</v>
      </c>
      <c r="L98" s="21">
        <v>2.2806297057</v>
      </c>
      <c r="M98" s="22" t="s">
        <v>171</v>
      </c>
      <c r="N98" s="22" t="s">
        <v>172</v>
      </c>
      <c r="O98" s="22"/>
      <c r="P98" s="10" t="s">
        <v>147</v>
      </c>
      <c r="Q98" s="10" t="s">
        <v>164</v>
      </c>
      <c r="R98" s="10" t="s">
        <v>150</v>
      </c>
      <c r="S98" s="10" t="s">
        <v>152</v>
      </c>
      <c r="T98" s="2" t="s">
        <v>99</v>
      </c>
      <c r="Y98" s="8" t="s">
        <v>93</v>
      </c>
    </row>
    <row r="99" spans="1:27" x14ac:dyDescent="0.25">
      <c r="A99" s="2" t="s">
        <v>88</v>
      </c>
      <c r="B99" s="2">
        <v>3001063</v>
      </c>
      <c r="C99" s="4">
        <v>263</v>
      </c>
      <c r="D99" s="9">
        <v>459.32830000000001</v>
      </c>
      <c r="E99" s="9">
        <v>2124.1410000000001</v>
      </c>
      <c r="F99" s="9">
        <v>531.36810000000003</v>
      </c>
      <c r="G99" s="9">
        <v>335.78469999999999</v>
      </c>
      <c r="H99" s="9">
        <v>157.5367</v>
      </c>
      <c r="I99" s="2" t="s">
        <v>91</v>
      </c>
      <c r="J99" s="2" t="s">
        <v>162</v>
      </c>
      <c r="K99" s="2" t="s">
        <v>159</v>
      </c>
      <c r="L99" s="21">
        <v>2.3107460643</v>
      </c>
      <c r="M99" s="22" t="s">
        <v>171</v>
      </c>
      <c r="N99" s="22" t="s">
        <v>172</v>
      </c>
      <c r="O99" s="22"/>
      <c r="P99" s="10" t="s">
        <v>147</v>
      </c>
      <c r="Q99" s="10" t="s">
        <v>164</v>
      </c>
      <c r="R99" s="10" t="s">
        <v>150</v>
      </c>
      <c r="S99" s="10" t="s">
        <v>152</v>
      </c>
      <c r="T99" s="2" t="s">
        <v>99</v>
      </c>
      <c r="W99" s="8" t="s">
        <v>93</v>
      </c>
    </row>
    <row r="100" spans="1:27" x14ac:dyDescent="0.25">
      <c r="A100" s="2" t="s">
        <v>88</v>
      </c>
      <c r="B100" s="2">
        <v>3001087</v>
      </c>
      <c r="C100" s="4">
        <v>299</v>
      </c>
      <c r="D100" s="9">
        <v>287.21089999999998</v>
      </c>
      <c r="E100" s="9">
        <v>1875.576</v>
      </c>
      <c r="F100" s="9">
        <v>433.14530000000002</v>
      </c>
      <c r="G100" s="9">
        <v>219.16489999999999</v>
      </c>
      <c r="H100" s="9">
        <v>172.64099999999999</v>
      </c>
      <c r="I100" s="2" t="s">
        <v>89</v>
      </c>
      <c r="J100" s="2" t="s">
        <v>162</v>
      </c>
      <c r="K100" s="2" t="s">
        <v>157</v>
      </c>
      <c r="L100" s="21">
        <v>2.3326488705999999</v>
      </c>
      <c r="M100" s="22" t="s">
        <v>171</v>
      </c>
      <c r="N100" s="22" t="s">
        <v>172</v>
      </c>
      <c r="O100" s="22"/>
      <c r="P100" s="10" t="s">
        <v>147</v>
      </c>
      <c r="Q100" s="10" t="s">
        <v>164</v>
      </c>
      <c r="R100" s="10" t="s">
        <v>150</v>
      </c>
      <c r="S100" s="10" t="s">
        <v>152</v>
      </c>
      <c r="T100" s="2" t="s">
        <v>99</v>
      </c>
      <c r="V100" s="8" t="s">
        <v>93</v>
      </c>
      <c r="Y100" s="8" t="s">
        <v>93</v>
      </c>
    </row>
    <row r="101" spans="1:27" x14ac:dyDescent="0.25">
      <c r="A101" s="2" t="s">
        <v>88</v>
      </c>
      <c r="B101" s="2">
        <v>3001031</v>
      </c>
      <c r="C101" s="4">
        <v>233</v>
      </c>
      <c r="D101" s="9">
        <v>141.10499999999999</v>
      </c>
      <c r="E101" s="9">
        <v>802.173</v>
      </c>
      <c r="F101" s="9">
        <v>162.03899999999999</v>
      </c>
      <c r="G101" s="9">
        <v>101.08759999999999</v>
      </c>
      <c r="H101" s="9">
        <v>129.93799999999999</v>
      </c>
      <c r="I101" s="2" t="s">
        <v>91</v>
      </c>
      <c r="J101" s="2" t="s">
        <v>162</v>
      </c>
      <c r="K101" s="2" t="s">
        <v>159</v>
      </c>
      <c r="L101" s="21">
        <v>2.3545516768999999</v>
      </c>
      <c r="M101" s="22" t="s">
        <v>171</v>
      </c>
      <c r="N101" s="22" t="s">
        <v>172</v>
      </c>
      <c r="O101" s="22"/>
      <c r="P101" s="10" t="s">
        <v>147</v>
      </c>
      <c r="Q101" s="10" t="s">
        <v>164</v>
      </c>
      <c r="R101" s="10" t="s">
        <v>150</v>
      </c>
      <c r="S101" s="10" t="s">
        <v>152</v>
      </c>
      <c r="T101" s="2" t="s">
        <v>99</v>
      </c>
      <c r="Y101" s="8" t="s">
        <v>93</v>
      </c>
    </row>
    <row r="102" spans="1:27" x14ac:dyDescent="0.25">
      <c r="A102" s="2" t="s">
        <v>88</v>
      </c>
      <c r="B102" s="2">
        <v>3001086</v>
      </c>
      <c r="C102" s="4">
        <v>297</v>
      </c>
      <c r="D102" s="9">
        <v>10</v>
      </c>
      <c r="E102" s="9">
        <v>10</v>
      </c>
      <c r="F102" s="9">
        <v>10</v>
      </c>
      <c r="G102" s="9">
        <v>10</v>
      </c>
      <c r="H102" s="9">
        <v>10</v>
      </c>
      <c r="I102" s="2" t="s">
        <v>94</v>
      </c>
      <c r="J102" s="2" t="s">
        <v>161</v>
      </c>
      <c r="K102" s="2" t="s">
        <v>159</v>
      </c>
      <c r="L102" s="21">
        <v>2.3737166323999999</v>
      </c>
      <c r="M102" s="22" t="s">
        <v>171</v>
      </c>
      <c r="N102" s="22" t="s">
        <v>172</v>
      </c>
      <c r="O102" s="22"/>
      <c r="P102" s="10" t="s">
        <v>147</v>
      </c>
      <c r="Q102" s="10" t="s">
        <v>164</v>
      </c>
      <c r="R102" s="10" t="s">
        <v>150</v>
      </c>
      <c r="S102" s="10" t="s">
        <v>152</v>
      </c>
      <c r="T102" s="2" t="s">
        <v>99</v>
      </c>
    </row>
    <row r="103" spans="1:27" x14ac:dyDescent="0.25">
      <c r="A103" s="2" t="s">
        <v>88</v>
      </c>
      <c r="B103" s="2">
        <v>3001066</v>
      </c>
      <c r="C103" s="4">
        <v>267</v>
      </c>
      <c r="D103" s="9">
        <v>77.807320000000004</v>
      </c>
      <c r="E103" s="9">
        <v>767.51750000000004</v>
      </c>
      <c r="F103" s="9">
        <v>209.935</v>
      </c>
      <c r="G103" s="9">
        <v>68.204059999999998</v>
      </c>
      <c r="H103" s="9">
        <v>61.08802</v>
      </c>
      <c r="I103" s="2" t="s">
        <v>96</v>
      </c>
      <c r="J103" s="2" t="s">
        <v>162</v>
      </c>
      <c r="K103" s="2" t="s">
        <v>158</v>
      </c>
      <c r="L103" s="21">
        <v>2.4229979465999998</v>
      </c>
      <c r="M103" s="22" t="s">
        <v>171</v>
      </c>
      <c r="N103" s="22" t="s">
        <v>172</v>
      </c>
      <c r="O103" s="22"/>
      <c r="P103" s="10" t="s">
        <v>147</v>
      </c>
      <c r="Q103" s="10" t="s">
        <v>164</v>
      </c>
      <c r="R103" s="10" t="s">
        <v>150</v>
      </c>
      <c r="S103" s="10" t="s">
        <v>152</v>
      </c>
      <c r="T103" s="2" t="s">
        <v>99</v>
      </c>
    </row>
    <row r="104" spans="1:27" x14ac:dyDescent="0.25">
      <c r="A104" s="2" t="s">
        <v>88</v>
      </c>
      <c r="B104" s="2">
        <v>3001085</v>
      </c>
      <c r="C104" s="4">
        <v>295</v>
      </c>
      <c r="D104" s="9">
        <v>1921.51</v>
      </c>
      <c r="E104" s="9">
        <v>7767.0590000000002</v>
      </c>
      <c r="F104" s="9">
        <v>1952.9860000000001</v>
      </c>
      <c r="G104" s="9">
        <v>2309.2440000000001</v>
      </c>
      <c r="H104" s="9">
        <v>1674.1780000000001</v>
      </c>
      <c r="I104" s="2" t="s">
        <v>95</v>
      </c>
      <c r="J104" s="2" t="s">
        <v>161</v>
      </c>
      <c r="K104" s="2" t="s">
        <v>158</v>
      </c>
      <c r="L104" s="21">
        <v>2.4613278576000002</v>
      </c>
      <c r="M104" s="22" t="s">
        <v>171</v>
      </c>
      <c r="N104" s="22" t="s">
        <v>172</v>
      </c>
      <c r="O104" s="22"/>
      <c r="P104" s="10" t="s">
        <v>147</v>
      </c>
      <c r="Q104" s="10" t="s">
        <v>164</v>
      </c>
      <c r="R104" s="10" t="s">
        <v>150</v>
      </c>
      <c r="S104" s="10" t="s">
        <v>152</v>
      </c>
      <c r="T104" s="2" t="s">
        <v>99</v>
      </c>
      <c r="Y104" s="8" t="s">
        <v>93</v>
      </c>
      <c r="AA104" s="8" t="s">
        <v>93</v>
      </c>
    </row>
    <row r="105" spans="1:27" x14ac:dyDescent="0.25">
      <c r="A105" s="2" t="s">
        <v>88</v>
      </c>
      <c r="B105" s="2">
        <v>3001033</v>
      </c>
      <c r="C105" s="4">
        <v>235</v>
      </c>
      <c r="D105" s="9">
        <v>10</v>
      </c>
      <c r="E105" s="9">
        <v>10</v>
      </c>
      <c r="F105" s="9">
        <v>10</v>
      </c>
      <c r="G105" s="9">
        <v>10</v>
      </c>
      <c r="H105" s="9">
        <v>10</v>
      </c>
      <c r="I105" s="2" t="s">
        <v>92</v>
      </c>
      <c r="J105" s="2" t="s">
        <v>161</v>
      </c>
      <c r="K105" s="2" t="s">
        <v>157</v>
      </c>
      <c r="L105" s="21">
        <v>2.5270362765000001</v>
      </c>
      <c r="M105" s="22" t="s">
        <v>171</v>
      </c>
      <c r="N105" s="22" t="s">
        <v>172</v>
      </c>
      <c r="O105" s="22"/>
      <c r="P105" s="10" t="s">
        <v>147</v>
      </c>
      <c r="Q105" s="10" t="s">
        <v>164</v>
      </c>
      <c r="R105" s="10" t="s">
        <v>150</v>
      </c>
      <c r="S105" s="10" t="s">
        <v>152</v>
      </c>
      <c r="T105" s="2" t="s">
        <v>99</v>
      </c>
    </row>
    <row r="106" spans="1:27" x14ac:dyDescent="0.25">
      <c r="A106" s="2" t="s">
        <v>88</v>
      </c>
      <c r="B106" s="2">
        <v>3001084</v>
      </c>
      <c r="C106" s="4">
        <v>293</v>
      </c>
      <c r="D106" s="9">
        <v>75.986509999999996</v>
      </c>
      <c r="E106" s="9">
        <v>566.42999999999995</v>
      </c>
      <c r="F106" s="9">
        <v>141.8681</v>
      </c>
      <c r="G106" s="9">
        <v>64.097660000000005</v>
      </c>
      <c r="H106" s="9">
        <v>84.644859999999994</v>
      </c>
      <c r="I106" s="2" t="s">
        <v>94</v>
      </c>
      <c r="J106" s="2" t="s">
        <v>161</v>
      </c>
      <c r="K106" s="2" t="s">
        <v>159</v>
      </c>
      <c r="L106" s="21">
        <v>2.6036960986</v>
      </c>
      <c r="M106" s="22" t="s">
        <v>171</v>
      </c>
      <c r="N106" s="22" t="s">
        <v>172</v>
      </c>
      <c r="O106" s="22"/>
      <c r="P106" s="10" t="s">
        <v>147</v>
      </c>
      <c r="Q106" s="10" t="s">
        <v>164</v>
      </c>
      <c r="R106" s="10" t="s">
        <v>150</v>
      </c>
      <c r="S106" s="10" t="s">
        <v>152</v>
      </c>
      <c r="T106" s="2" t="s">
        <v>99</v>
      </c>
      <c r="Z106" s="8" t="s">
        <v>93</v>
      </c>
    </row>
    <row r="107" spans="1:27" x14ac:dyDescent="0.25">
      <c r="A107" s="2" t="s">
        <v>88</v>
      </c>
      <c r="B107" s="2">
        <v>3001042</v>
      </c>
      <c r="C107" s="4">
        <v>239</v>
      </c>
      <c r="D107" s="9">
        <v>537.00670000000002</v>
      </c>
      <c r="E107" s="9">
        <v>9097.3580000000002</v>
      </c>
      <c r="F107" s="9">
        <v>1427.971</v>
      </c>
      <c r="G107" s="9">
        <v>742.68420000000003</v>
      </c>
      <c r="H107" s="9">
        <v>267.65600000000001</v>
      </c>
      <c r="I107" s="2" t="s">
        <v>95</v>
      </c>
      <c r="J107" s="2" t="s">
        <v>161</v>
      </c>
      <c r="K107" s="2" t="s">
        <v>158</v>
      </c>
      <c r="L107" s="21">
        <v>2.7843942505000001</v>
      </c>
      <c r="M107" s="22" t="s">
        <v>171</v>
      </c>
      <c r="N107" s="22" t="s">
        <v>172</v>
      </c>
      <c r="O107" s="22"/>
      <c r="P107" s="10" t="s">
        <v>147</v>
      </c>
      <c r="Q107" s="10" t="s">
        <v>164</v>
      </c>
      <c r="R107" s="10" t="s">
        <v>150</v>
      </c>
      <c r="S107" s="10" t="s">
        <v>152</v>
      </c>
      <c r="T107" s="2" t="s">
        <v>99</v>
      </c>
      <c r="W107" s="8" t="s">
        <v>93</v>
      </c>
      <c r="Y107" s="8" t="s">
        <v>93</v>
      </c>
    </row>
    <row r="108" spans="1:27" x14ac:dyDescent="0.25">
      <c r="A108" s="2" t="s">
        <v>88</v>
      </c>
      <c r="B108" s="2">
        <v>3001081</v>
      </c>
      <c r="C108" s="4">
        <v>291</v>
      </c>
      <c r="D108" s="9">
        <v>288.92770000000002</v>
      </c>
      <c r="E108" s="9">
        <v>13711.33</v>
      </c>
      <c r="F108" s="9">
        <v>463.16789999999997</v>
      </c>
      <c r="G108" s="9">
        <v>275.09690000000001</v>
      </c>
      <c r="H108" s="9">
        <v>279.34769999999997</v>
      </c>
      <c r="I108" s="2" t="s">
        <v>92</v>
      </c>
      <c r="J108" s="2" t="s">
        <v>161</v>
      </c>
      <c r="K108" s="2" t="s">
        <v>157</v>
      </c>
      <c r="L108" s="21">
        <v>2.7980835044000001</v>
      </c>
      <c r="M108" s="22" t="s">
        <v>171</v>
      </c>
      <c r="N108" s="22" t="s">
        <v>172</v>
      </c>
      <c r="O108" s="22"/>
      <c r="P108" s="10" t="s">
        <v>147</v>
      </c>
      <c r="Q108" s="10" t="s">
        <v>164</v>
      </c>
      <c r="R108" s="10" t="s">
        <v>150</v>
      </c>
      <c r="S108" s="10" t="s">
        <v>152</v>
      </c>
      <c r="T108" s="2" t="s">
        <v>99</v>
      </c>
      <c r="W108" s="8" t="s">
        <v>93</v>
      </c>
      <c r="X108" s="8" t="s">
        <v>93</v>
      </c>
    </row>
    <row r="109" spans="1:27" x14ac:dyDescent="0.25">
      <c r="A109" s="2" t="s">
        <v>88</v>
      </c>
      <c r="B109" s="2">
        <v>3001074</v>
      </c>
      <c r="C109" s="4">
        <v>279</v>
      </c>
      <c r="D109" s="9">
        <v>169.5675</v>
      </c>
      <c r="E109" s="9">
        <v>1823.365</v>
      </c>
      <c r="F109" s="9">
        <v>341.54450000000003</v>
      </c>
      <c r="G109" s="9">
        <v>171.68729999999999</v>
      </c>
      <c r="H109" s="9">
        <v>238.1765</v>
      </c>
      <c r="I109" s="2" t="s">
        <v>95</v>
      </c>
      <c r="J109" s="2" t="s">
        <v>161</v>
      </c>
      <c r="K109" s="2" t="s">
        <v>158</v>
      </c>
      <c r="L109" s="21">
        <v>2.8446269678</v>
      </c>
      <c r="M109" s="22" t="s">
        <v>171</v>
      </c>
      <c r="N109" s="22" t="s">
        <v>172</v>
      </c>
      <c r="O109" s="22"/>
      <c r="P109" s="10" t="s">
        <v>147</v>
      </c>
      <c r="Q109" s="10" t="s">
        <v>164</v>
      </c>
      <c r="R109" s="10" t="s">
        <v>150</v>
      </c>
      <c r="S109" s="10" t="s">
        <v>152</v>
      </c>
      <c r="T109" s="2" t="s">
        <v>99</v>
      </c>
    </row>
    <row r="110" spans="1:27" x14ac:dyDescent="0.25">
      <c r="A110" s="2" t="s">
        <v>88</v>
      </c>
      <c r="B110" s="2">
        <v>3001136</v>
      </c>
      <c r="C110" s="4">
        <v>345</v>
      </c>
      <c r="D110" s="9">
        <v>1254.2539999999999</v>
      </c>
      <c r="E110" s="9">
        <v>12596.93</v>
      </c>
      <c r="F110" s="9">
        <v>2517.3829999999998</v>
      </c>
      <c r="G110" s="9">
        <v>1032.4829999999999</v>
      </c>
      <c r="H110" s="9">
        <v>380.0455</v>
      </c>
      <c r="I110" s="2" t="s">
        <v>95</v>
      </c>
      <c r="J110" s="2" t="s">
        <v>161</v>
      </c>
      <c r="K110" s="2" t="s">
        <v>158</v>
      </c>
      <c r="L110" s="21">
        <v>2.9267624913999999</v>
      </c>
      <c r="M110" s="22" t="s">
        <v>171</v>
      </c>
      <c r="N110" s="22" t="s">
        <v>172</v>
      </c>
      <c r="O110" s="22"/>
      <c r="P110" s="10" t="s">
        <v>147</v>
      </c>
      <c r="Q110" s="10" t="s">
        <v>164</v>
      </c>
      <c r="R110" s="10" t="s">
        <v>150</v>
      </c>
      <c r="S110" s="10" t="s">
        <v>152</v>
      </c>
      <c r="T110" s="2" t="s">
        <v>99</v>
      </c>
    </row>
    <row r="111" spans="1:27" x14ac:dyDescent="0.25">
      <c r="A111" s="2" t="s">
        <v>88</v>
      </c>
      <c r="B111" s="2">
        <v>3001065</v>
      </c>
      <c r="C111" s="4">
        <v>265</v>
      </c>
      <c r="D111" s="9">
        <v>75.975489999999994</v>
      </c>
      <c r="E111" s="9">
        <v>1122.558</v>
      </c>
      <c r="F111" s="9">
        <v>172.99289999999999</v>
      </c>
      <c r="G111" s="9">
        <v>81.376919999999998</v>
      </c>
      <c r="H111" s="9">
        <v>10</v>
      </c>
      <c r="I111" s="2" t="s">
        <v>94</v>
      </c>
      <c r="J111" s="2" t="s">
        <v>161</v>
      </c>
      <c r="K111" s="2" t="s">
        <v>159</v>
      </c>
      <c r="L111" s="21">
        <v>2.9568788500999998</v>
      </c>
      <c r="M111" s="22" t="s">
        <v>171</v>
      </c>
      <c r="N111" s="22" t="s">
        <v>172</v>
      </c>
      <c r="O111" s="22"/>
      <c r="P111" s="10" t="s">
        <v>147</v>
      </c>
      <c r="Q111" s="10" t="s">
        <v>164</v>
      </c>
      <c r="R111" s="10" t="s">
        <v>150</v>
      </c>
      <c r="S111" s="10" t="s">
        <v>152</v>
      </c>
      <c r="T111" s="2" t="s">
        <v>99</v>
      </c>
      <c r="Z111" s="8" t="s">
        <v>93</v>
      </c>
    </row>
    <row r="112" spans="1:27" x14ac:dyDescent="0.25">
      <c r="A112" s="2" t="s">
        <v>88</v>
      </c>
      <c r="B112" s="2">
        <v>3001124</v>
      </c>
      <c r="C112" s="4">
        <v>333</v>
      </c>
      <c r="D112" s="9">
        <v>10</v>
      </c>
      <c r="E112" s="9">
        <v>10</v>
      </c>
      <c r="F112" s="9">
        <v>10</v>
      </c>
      <c r="G112" s="9">
        <v>10</v>
      </c>
      <c r="H112" s="9">
        <v>10</v>
      </c>
      <c r="I112" s="2" t="s">
        <v>91</v>
      </c>
      <c r="J112" s="2" t="s">
        <v>162</v>
      </c>
      <c r="K112" s="2" t="s">
        <v>159</v>
      </c>
      <c r="L112" s="21">
        <v>3.2772073921999998</v>
      </c>
      <c r="M112" s="22" t="s">
        <v>173</v>
      </c>
      <c r="N112" s="22" t="s">
        <v>172</v>
      </c>
      <c r="O112" s="22"/>
      <c r="P112" s="10" t="s">
        <v>147</v>
      </c>
      <c r="Q112" s="10" t="s">
        <v>164</v>
      </c>
      <c r="R112" s="10" t="s">
        <v>150</v>
      </c>
      <c r="S112" s="10" t="s">
        <v>152</v>
      </c>
      <c r="T112" s="2" t="s">
        <v>99</v>
      </c>
    </row>
    <row r="113" spans="1:28" x14ac:dyDescent="0.25">
      <c r="A113" s="2" t="s">
        <v>88</v>
      </c>
      <c r="B113" s="2">
        <v>3001131</v>
      </c>
      <c r="C113" s="4">
        <v>339</v>
      </c>
      <c r="D113" s="9">
        <v>10</v>
      </c>
      <c r="E113" s="9">
        <v>10</v>
      </c>
      <c r="F113" s="9">
        <v>10</v>
      </c>
      <c r="G113" s="9">
        <v>10</v>
      </c>
      <c r="H113" s="9">
        <v>10</v>
      </c>
      <c r="I113" s="2" t="s">
        <v>96</v>
      </c>
      <c r="J113" s="2" t="s">
        <v>162</v>
      </c>
      <c r="K113" s="2" t="s">
        <v>158</v>
      </c>
      <c r="L113" s="21">
        <v>3.3182751540000002</v>
      </c>
      <c r="M113" s="22" t="s">
        <v>173</v>
      </c>
      <c r="N113" s="22" t="s">
        <v>172</v>
      </c>
      <c r="O113" s="22"/>
      <c r="P113" s="10" t="s">
        <v>147</v>
      </c>
      <c r="Q113" s="10" t="s">
        <v>164</v>
      </c>
      <c r="R113" s="10" t="s">
        <v>150</v>
      </c>
      <c r="S113" s="10" t="s">
        <v>152</v>
      </c>
      <c r="T113" s="2" t="s">
        <v>99</v>
      </c>
    </row>
    <row r="114" spans="1:28" x14ac:dyDescent="0.25">
      <c r="A114" s="2" t="s">
        <v>88</v>
      </c>
      <c r="B114" s="2">
        <v>3001046</v>
      </c>
      <c r="C114" s="4">
        <v>243</v>
      </c>
      <c r="D114" s="9">
        <v>10</v>
      </c>
      <c r="E114" s="9">
        <v>10</v>
      </c>
      <c r="F114" s="9">
        <v>10</v>
      </c>
      <c r="G114" s="9">
        <v>10</v>
      </c>
      <c r="H114" s="9">
        <v>10</v>
      </c>
      <c r="I114" s="2" t="s">
        <v>95</v>
      </c>
      <c r="J114" s="2" t="s">
        <v>161</v>
      </c>
      <c r="K114" s="2" t="s">
        <v>158</v>
      </c>
      <c r="L114" s="21">
        <v>3.4414784394</v>
      </c>
      <c r="M114" s="22" t="s">
        <v>173</v>
      </c>
      <c r="N114" s="22" t="s">
        <v>172</v>
      </c>
      <c r="O114" s="22"/>
      <c r="P114" s="10" t="s">
        <v>147</v>
      </c>
      <c r="Q114" s="10" t="s">
        <v>164</v>
      </c>
      <c r="R114" s="10" t="s">
        <v>150</v>
      </c>
      <c r="S114" s="10" t="s">
        <v>152</v>
      </c>
      <c r="T114" s="2" t="s">
        <v>99</v>
      </c>
    </row>
    <row r="115" spans="1:28" x14ac:dyDescent="0.25">
      <c r="A115" s="2" t="s">
        <v>88</v>
      </c>
      <c r="B115" s="2">
        <v>3001127</v>
      </c>
      <c r="C115" s="4">
        <v>335</v>
      </c>
      <c r="D115" s="9">
        <v>135.90729999999999</v>
      </c>
      <c r="E115" s="9">
        <v>1554.086</v>
      </c>
      <c r="F115" s="9">
        <v>458.1044</v>
      </c>
      <c r="G115" s="9">
        <v>114.06019999999999</v>
      </c>
      <c r="H115" s="9">
        <v>84.122159999999994</v>
      </c>
      <c r="I115" s="2" t="s">
        <v>92</v>
      </c>
      <c r="J115" s="2" t="s">
        <v>161</v>
      </c>
      <c r="K115" s="2" t="s">
        <v>157</v>
      </c>
      <c r="L115" s="21">
        <v>3.5811088296000002</v>
      </c>
      <c r="M115" s="22" t="s">
        <v>173</v>
      </c>
      <c r="N115" s="22" t="s">
        <v>172</v>
      </c>
      <c r="O115" s="22"/>
      <c r="P115" s="10" t="s">
        <v>147</v>
      </c>
      <c r="Q115" s="10" t="s">
        <v>164</v>
      </c>
      <c r="R115" s="10" t="s">
        <v>150</v>
      </c>
      <c r="S115" s="10" t="s">
        <v>152</v>
      </c>
      <c r="T115" s="2" t="s">
        <v>99</v>
      </c>
    </row>
    <row r="116" spans="1:28" x14ac:dyDescent="0.25">
      <c r="A116" s="2" t="s">
        <v>88</v>
      </c>
      <c r="B116" s="2">
        <v>3001073</v>
      </c>
      <c r="C116" s="4">
        <v>277</v>
      </c>
      <c r="D116" s="9">
        <v>938.84259999999995</v>
      </c>
      <c r="E116" s="9">
        <v>15533.24</v>
      </c>
      <c r="F116" s="9">
        <v>3952.7910000000002</v>
      </c>
      <c r="G116" s="9">
        <v>1098.799</v>
      </c>
      <c r="H116" s="9">
        <v>1198.6279999999999</v>
      </c>
      <c r="I116" s="2" t="s">
        <v>91</v>
      </c>
      <c r="J116" s="2" t="s">
        <v>162</v>
      </c>
      <c r="K116" s="2" t="s">
        <v>159</v>
      </c>
      <c r="L116" s="21">
        <v>3.6988364134</v>
      </c>
      <c r="M116" s="22" t="s">
        <v>173</v>
      </c>
      <c r="N116" s="22" t="s">
        <v>172</v>
      </c>
      <c r="O116" s="22"/>
      <c r="P116" s="10" t="s">
        <v>147</v>
      </c>
      <c r="Q116" s="10" t="s">
        <v>164</v>
      </c>
      <c r="R116" s="10" t="s">
        <v>150</v>
      </c>
      <c r="S116" s="10" t="s">
        <v>152</v>
      </c>
      <c r="T116" s="2" t="s">
        <v>99</v>
      </c>
      <c r="X116" s="8" t="s">
        <v>93</v>
      </c>
    </row>
    <row r="117" spans="1:28" x14ac:dyDescent="0.25">
      <c r="A117" s="2" t="s">
        <v>88</v>
      </c>
      <c r="B117" s="2">
        <v>3001149</v>
      </c>
      <c r="C117" s="4">
        <v>359</v>
      </c>
      <c r="D117" s="9">
        <v>44.54974</v>
      </c>
      <c r="E117" s="9">
        <v>520.22580000000005</v>
      </c>
      <c r="F117" s="9">
        <v>163.78129999999999</v>
      </c>
      <c r="G117" s="9">
        <v>37.605800000000002</v>
      </c>
      <c r="H117" s="9">
        <v>10</v>
      </c>
      <c r="I117" s="2" t="s">
        <v>89</v>
      </c>
      <c r="J117" s="2" t="s">
        <v>162</v>
      </c>
      <c r="K117" s="2" t="s">
        <v>157</v>
      </c>
      <c r="L117" s="21">
        <v>3.7234770705</v>
      </c>
      <c r="M117" s="22" t="s">
        <v>173</v>
      </c>
      <c r="N117" s="22" t="s">
        <v>172</v>
      </c>
      <c r="O117" s="22"/>
      <c r="P117" s="10" t="s">
        <v>147</v>
      </c>
      <c r="Q117" s="10" t="s">
        <v>164</v>
      </c>
      <c r="R117" s="10" t="s">
        <v>150</v>
      </c>
      <c r="S117" s="10" t="s">
        <v>152</v>
      </c>
      <c r="T117" s="2" t="s">
        <v>99</v>
      </c>
    </row>
    <row r="118" spans="1:28" x14ac:dyDescent="0.25">
      <c r="A118" s="2" t="s">
        <v>88</v>
      </c>
      <c r="B118" s="2">
        <v>3001010</v>
      </c>
      <c r="C118" s="4">
        <v>205</v>
      </c>
      <c r="D118" s="9">
        <v>148.14080000000001</v>
      </c>
      <c r="E118" s="9">
        <v>571.04039999999998</v>
      </c>
      <c r="F118" s="9">
        <v>210.79939999999999</v>
      </c>
      <c r="G118" s="9">
        <v>122.82210000000001</v>
      </c>
      <c r="H118" s="9">
        <v>31.267309999999998</v>
      </c>
      <c r="I118" s="2" t="s">
        <v>92</v>
      </c>
      <c r="J118" s="2" t="s">
        <v>161</v>
      </c>
      <c r="K118" s="2" t="s">
        <v>157</v>
      </c>
      <c r="L118" s="21">
        <v>6.7104722793000002</v>
      </c>
      <c r="M118" s="22" t="s">
        <v>176</v>
      </c>
      <c r="N118" s="22" t="s">
        <v>172</v>
      </c>
      <c r="O118" s="22"/>
      <c r="P118" s="10" t="s">
        <v>148</v>
      </c>
      <c r="Q118" s="10" t="s">
        <v>164</v>
      </c>
      <c r="R118" s="10" t="s">
        <v>150</v>
      </c>
      <c r="S118" s="10" t="s">
        <v>152</v>
      </c>
      <c r="T118" s="2" t="s">
        <v>99</v>
      </c>
    </row>
    <row r="119" spans="1:28" x14ac:dyDescent="0.25">
      <c r="A119" s="2" t="s">
        <v>88</v>
      </c>
      <c r="B119" s="2">
        <v>3001003</v>
      </c>
      <c r="C119" s="4">
        <v>193</v>
      </c>
      <c r="D119" s="9">
        <v>10</v>
      </c>
      <c r="E119" s="9">
        <v>10</v>
      </c>
      <c r="F119" s="9">
        <v>10</v>
      </c>
      <c r="G119" s="9">
        <v>10</v>
      </c>
      <c r="H119" s="9">
        <v>10</v>
      </c>
      <c r="I119" s="2" t="s">
        <v>96</v>
      </c>
      <c r="J119" s="2" t="s">
        <v>162</v>
      </c>
      <c r="K119" s="2" t="s">
        <v>158</v>
      </c>
      <c r="L119" s="21">
        <v>7.4332648871</v>
      </c>
      <c r="M119" s="22" t="s">
        <v>177</v>
      </c>
      <c r="N119" s="22" t="s">
        <v>172</v>
      </c>
      <c r="O119" s="22"/>
      <c r="P119" s="10" t="s">
        <v>148</v>
      </c>
      <c r="Q119" s="10" t="s">
        <v>164</v>
      </c>
      <c r="R119" s="10" t="s">
        <v>150</v>
      </c>
      <c r="S119" s="10" t="s">
        <v>152</v>
      </c>
      <c r="T119" s="2" t="s">
        <v>99</v>
      </c>
    </row>
    <row r="120" spans="1:28" x14ac:dyDescent="0.25">
      <c r="A120" s="2" t="s">
        <v>88</v>
      </c>
      <c r="B120" s="2">
        <v>2001074</v>
      </c>
      <c r="C120" s="4">
        <v>101</v>
      </c>
      <c r="D120" s="9">
        <v>1318.9839999999999</v>
      </c>
      <c r="E120" s="9">
        <v>9055.4920000000002</v>
      </c>
      <c r="F120" s="9">
        <v>1593.6569999999999</v>
      </c>
      <c r="G120" s="9">
        <v>1610.6669999999999</v>
      </c>
      <c r="H120" s="9">
        <v>1087.471</v>
      </c>
      <c r="I120" s="2" t="s">
        <v>95</v>
      </c>
      <c r="J120" s="2" t="s">
        <v>161</v>
      </c>
      <c r="K120" s="2" t="s">
        <v>158</v>
      </c>
      <c r="L120" s="21">
        <v>2.1163586584999998</v>
      </c>
      <c r="M120" s="22" t="s">
        <v>171</v>
      </c>
      <c r="N120" s="22" t="s">
        <v>172</v>
      </c>
      <c r="O120" s="22"/>
      <c r="P120" s="10" t="s">
        <v>147</v>
      </c>
      <c r="Q120" s="10" t="s">
        <v>165</v>
      </c>
      <c r="R120" s="10" t="s">
        <v>150</v>
      </c>
      <c r="S120" s="10" t="s">
        <v>151</v>
      </c>
      <c r="T120" s="2" t="s">
        <v>90</v>
      </c>
    </row>
    <row r="121" spans="1:28" x14ac:dyDescent="0.25">
      <c r="A121" s="2" t="s">
        <v>88</v>
      </c>
      <c r="B121" s="2">
        <v>2001077</v>
      </c>
      <c r="C121" s="4">
        <v>107</v>
      </c>
      <c r="D121" s="9">
        <v>42.929589999999997</v>
      </c>
      <c r="E121" s="9">
        <v>100.2685</v>
      </c>
      <c r="F121" s="9">
        <v>70.282200000000003</v>
      </c>
      <c r="G121" s="9">
        <v>78.149829999999994</v>
      </c>
      <c r="H121" s="9">
        <v>38.654980000000002</v>
      </c>
      <c r="I121" s="2" t="s">
        <v>96</v>
      </c>
      <c r="J121" s="2" t="s">
        <v>162</v>
      </c>
      <c r="K121" s="2" t="s">
        <v>158</v>
      </c>
      <c r="L121" s="21">
        <v>2.1820670773000002</v>
      </c>
      <c r="M121" s="22" t="s">
        <v>171</v>
      </c>
      <c r="N121" s="22" t="s">
        <v>172</v>
      </c>
      <c r="O121" s="22"/>
      <c r="P121" s="10" t="s">
        <v>147</v>
      </c>
      <c r="Q121" s="10" t="s">
        <v>165</v>
      </c>
      <c r="R121" s="10" t="s">
        <v>150</v>
      </c>
      <c r="S121" s="10" t="s">
        <v>151</v>
      </c>
      <c r="T121" s="2" t="s">
        <v>90</v>
      </c>
      <c r="Y121" s="8" t="s">
        <v>93</v>
      </c>
      <c r="Z121" s="8" t="s">
        <v>93</v>
      </c>
    </row>
    <row r="122" spans="1:28" x14ac:dyDescent="0.25">
      <c r="A122" s="2" t="s">
        <v>88</v>
      </c>
      <c r="B122" s="2">
        <v>2001092</v>
      </c>
      <c r="C122" s="4">
        <v>125</v>
      </c>
      <c r="D122" s="9">
        <v>10</v>
      </c>
      <c r="E122" s="9">
        <v>10</v>
      </c>
      <c r="F122" s="9">
        <v>10</v>
      </c>
      <c r="G122" s="9">
        <v>10</v>
      </c>
      <c r="H122" s="9">
        <v>10</v>
      </c>
      <c r="I122" s="2" t="s">
        <v>95</v>
      </c>
      <c r="J122" s="2" t="s">
        <v>161</v>
      </c>
      <c r="K122" s="2" t="s">
        <v>158</v>
      </c>
      <c r="L122" s="21">
        <v>2.4558521561000002</v>
      </c>
      <c r="M122" s="22" t="s">
        <v>171</v>
      </c>
      <c r="N122" s="22" t="s">
        <v>172</v>
      </c>
      <c r="O122" s="22"/>
      <c r="P122" s="10" t="s">
        <v>147</v>
      </c>
      <c r="Q122" s="10" t="s">
        <v>165</v>
      </c>
      <c r="R122" s="10" t="s">
        <v>150</v>
      </c>
      <c r="S122" s="10" t="s">
        <v>151</v>
      </c>
      <c r="T122" s="2" t="s">
        <v>90</v>
      </c>
      <c r="X122" s="8" t="s">
        <v>93</v>
      </c>
    </row>
    <row r="123" spans="1:28" x14ac:dyDescent="0.25">
      <c r="A123" s="2" t="s">
        <v>88</v>
      </c>
      <c r="B123" s="2">
        <v>2001084</v>
      </c>
      <c r="C123" s="4">
        <v>115</v>
      </c>
      <c r="D123" s="9">
        <v>1031.6010000000001</v>
      </c>
      <c r="E123" s="9">
        <v>3448.498</v>
      </c>
      <c r="F123" s="9">
        <v>784.12300000000005</v>
      </c>
      <c r="G123" s="9">
        <v>715.94489999999996</v>
      </c>
      <c r="H123" s="9">
        <v>708.59709999999995</v>
      </c>
      <c r="I123" s="2" t="s">
        <v>92</v>
      </c>
      <c r="J123" s="2" t="s">
        <v>161</v>
      </c>
      <c r="K123" s="2" t="s">
        <v>157</v>
      </c>
      <c r="L123" s="21">
        <v>2.5160848734000001</v>
      </c>
      <c r="M123" s="22" t="s">
        <v>171</v>
      </c>
      <c r="N123" s="22" t="s">
        <v>172</v>
      </c>
      <c r="O123" s="22"/>
      <c r="P123" s="10" t="s">
        <v>147</v>
      </c>
      <c r="Q123" s="10" t="s">
        <v>165</v>
      </c>
      <c r="R123" s="10" t="s">
        <v>150</v>
      </c>
      <c r="S123" s="10" t="s">
        <v>151</v>
      </c>
      <c r="T123" s="2" t="s">
        <v>90</v>
      </c>
      <c r="Z123" s="8" t="s">
        <v>93</v>
      </c>
    </row>
    <row r="124" spans="1:28" x14ac:dyDescent="0.25">
      <c r="A124" s="2" t="s">
        <v>88</v>
      </c>
      <c r="B124" s="2">
        <v>2001069</v>
      </c>
      <c r="C124" s="4">
        <v>93</v>
      </c>
      <c r="D124" s="9">
        <v>10</v>
      </c>
      <c r="E124" s="9">
        <v>10</v>
      </c>
      <c r="F124" s="9">
        <v>10</v>
      </c>
      <c r="G124" s="9">
        <v>10</v>
      </c>
      <c r="H124" s="9">
        <v>10</v>
      </c>
      <c r="I124" s="2" t="s">
        <v>95</v>
      </c>
      <c r="J124" s="2" t="s">
        <v>161</v>
      </c>
      <c r="K124" s="2" t="s">
        <v>158</v>
      </c>
      <c r="L124" s="21">
        <v>3.6139630390000002</v>
      </c>
      <c r="M124" s="22" t="s">
        <v>173</v>
      </c>
      <c r="N124" s="22" t="s">
        <v>172</v>
      </c>
      <c r="O124" s="22"/>
      <c r="P124" s="10" t="s">
        <v>147</v>
      </c>
      <c r="Q124" s="10" t="s">
        <v>165</v>
      </c>
      <c r="R124" s="10" t="s">
        <v>150</v>
      </c>
      <c r="S124" s="10" t="s">
        <v>151</v>
      </c>
      <c r="T124" s="2" t="s">
        <v>90</v>
      </c>
    </row>
    <row r="125" spans="1:28" x14ac:dyDescent="0.25">
      <c r="A125" s="2" t="s">
        <v>88</v>
      </c>
      <c r="B125" s="2">
        <v>2001049</v>
      </c>
      <c r="C125" s="4">
        <v>71</v>
      </c>
      <c r="D125" s="9">
        <v>227.3817</v>
      </c>
      <c r="E125" s="9">
        <v>2588.817</v>
      </c>
      <c r="F125" s="9">
        <v>658.90279999999996</v>
      </c>
      <c r="G125" s="9">
        <v>264.05119999999999</v>
      </c>
      <c r="H125" s="9">
        <v>1278.4380000000001</v>
      </c>
      <c r="I125" s="2" t="s">
        <v>92</v>
      </c>
      <c r="J125" s="2" t="s">
        <v>161</v>
      </c>
      <c r="K125" s="2" t="s">
        <v>157</v>
      </c>
      <c r="L125" s="21">
        <v>3.7645448322999999</v>
      </c>
      <c r="M125" s="22" t="s">
        <v>173</v>
      </c>
      <c r="N125" s="22" t="s">
        <v>172</v>
      </c>
      <c r="O125" s="22"/>
      <c r="P125" s="10" t="s">
        <v>147</v>
      </c>
      <c r="Q125" s="10" t="s">
        <v>165</v>
      </c>
      <c r="R125" s="10" t="s">
        <v>150</v>
      </c>
      <c r="S125" s="10" t="s">
        <v>151</v>
      </c>
      <c r="T125" s="2" t="s">
        <v>90</v>
      </c>
      <c r="Z125" s="8" t="s">
        <v>93</v>
      </c>
      <c r="AB125" s="8" t="s">
        <v>93</v>
      </c>
    </row>
    <row r="126" spans="1:28" x14ac:dyDescent="0.25">
      <c r="A126" s="2" t="s">
        <v>88</v>
      </c>
      <c r="B126" s="2">
        <v>3001009</v>
      </c>
      <c r="C126" s="4">
        <v>203</v>
      </c>
      <c r="D126" s="9">
        <v>746.46410000000003</v>
      </c>
      <c r="E126" s="9">
        <v>1523.104</v>
      </c>
      <c r="F126" s="9">
        <v>622.76319999999998</v>
      </c>
      <c r="G126" s="9">
        <v>457.09379999999999</v>
      </c>
      <c r="H126" s="9">
        <v>473.51299999999998</v>
      </c>
      <c r="I126" s="2" t="s">
        <v>95</v>
      </c>
      <c r="J126" s="2" t="s">
        <v>161</v>
      </c>
      <c r="K126" s="2" t="s">
        <v>158</v>
      </c>
      <c r="L126" s="21">
        <v>4.7036276522999998</v>
      </c>
      <c r="M126" s="22" t="s">
        <v>174</v>
      </c>
      <c r="N126" s="22" t="s">
        <v>172</v>
      </c>
      <c r="O126" s="22"/>
      <c r="P126" s="10" t="s">
        <v>148</v>
      </c>
      <c r="Q126" s="10" t="s">
        <v>165</v>
      </c>
      <c r="R126" s="10" t="s">
        <v>150</v>
      </c>
      <c r="S126" s="10" t="s">
        <v>152</v>
      </c>
      <c r="T126" s="2" t="s">
        <v>99</v>
      </c>
      <c r="Z126" s="8" t="s">
        <v>93</v>
      </c>
      <c r="AA126" s="8" t="s">
        <v>93</v>
      </c>
    </row>
    <row r="127" spans="1:28" x14ac:dyDescent="0.25">
      <c r="A127" s="2" t="s">
        <v>88</v>
      </c>
      <c r="B127" s="2">
        <v>3001004</v>
      </c>
      <c r="C127" s="4">
        <v>195</v>
      </c>
      <c r="D127" s="9">
        <v>228.1815</v>
      </c>
      <c r="E127" s="9">
        <v>773.76289999999995</v>
      </c>
      <c r="F127" s="9">
        <v>289.86110000000002</v>
      </c>
      <c r="G127" s="9">
        <v>162.02459999999999</v>
      </c>
      <c r="H127" s="9">
        <v>137.86580000000001</v>
      </c>
      <c r="I127" s="2" t="s">
        <v>95</v>
      </c>
      <c r="J127" s="2" t="s">
        <v>161</v>
      </c>
      <c r="K127" s="2" t="s">
        <v>158</v>
      </c>
      <c r="L127" s="21">
        <v>4.7912388774999997</v>
      </c>
      <c r="M127" s="22" t="s">
        <v>174</v>
      </c>
      <c r="N127" s="22" t="s">
        <v>172</v>
      </c>
      <c r="O127" s="22"/>
      <c r="P127" s="10" t="s">
        <v>148</v>
      </c>
      <c r="Q127" s="10" t="s">
        <v>165</v>
      </c>
      <c r="R127" s="10" t="s">
        <v>150</v>
      </c>
      <c r="S127" s="10" t="s">
        <v>152</v>
      </c>
      <c r="T127" s="2" t="s">
        <v>99</v>
      </c>
      <c r="Z127" s="8" t="s">
        <v>93</v>
      </c>
    </row>
    <row r="128" spans="1:28" x14ac:dyDescent="0.25">
      <c r="A128" s="2" t="s">
        <v>88</v>
      </c>
      <c r="B128" s="2">
        <v>2001016</v>
      </c>
      <c r="C128" s="4">
        <v>23</v>
      </c>
      <c r="D128" s="9">
        <v>578.35730000000001</v>
      </c>
      <c r="E128" s="9">
        <v>2571.402</v>
      </c>
      <c r="F128" s="9">
        <v>811.87310000000002</v>
      </c>
      <c r="G128" s="9">
        <v>489.54919999999998</v>
      </c>
      <c r="H128" s="9">
        <v>190.39189999999999</v>
      </c>
      <c r="I128" s="2" t="s">
        <v>96</v>
      </c>
      <c r="J128" s="2" t="s">
        <v>162</v>
      </c>
      <c r="K128" s="2" t="s">
        <v>158</v>
      </c>
      <c r="L128" s="21">
        <v>4.9965776865000002</v>
      </c>
      <c r="M128" s="22" t="s">
        <v>174</v>
      </c>
      <c r="N128" s="22" t="s">
        <v>172</v>
      </c>
      <c r="O128" s="22"/>
      <c r="P128" s="10" t="s">
        <v>148</v>
      </c>
      <c r="Q128" s="10" t="s">
        <v>164</v>
      </c>
      <c r="R128" s="10" t="s">
        <v>150</v>
      </c>
      <c r="S128" s="10" t="s">
        <v>153</v>
      </c>
      <c r="T128" s="2" t="s">
        <v>90</v>
      </c>
      <c r="W128" s="8" t="s">
        <v>93</v>
      </c>
      <c r="Z128" s="8" t="s">
        <v>93</v>
      </c>
    </row>
    <row r="129" spans="1:25" x14ac:dyDescent="0.25">
      <c r="A129" s="2" t="s">
        <v>88</v>
      </c>
      <c r="B129" s="2">
        <v>2001036</v>
      </c>
      <c r="C129" s="4">
        <v>51</v>
      </c>
      <c r="D129" s="9">
        <v>786.02710000000002</v>
      </c>
      <c r="E129" s="9">
        <v>4145.076</v>
      </c>
      <c r="F129" s="9">
        <v>1345.6210000000001</v>
      </c>
      <c r="G129" s="9">
        <v>392.97280000000001</v>
      </c>
      <c r="H129" s="9">
        <v>147.12549999999999</v>
      </c>
      <c r="I129" s="2" t="s">
        <v>94</v>
      </c>
      <c r="J129" s="2" t="s">
        <v>161</v>
      </c>
      <c r="K129" s="2" t="s">
        <v>159</v>
      </c>
      <c r="L129" s="21">
        <v>4.2354551676999996</v>
      </c>
      <c r="M129" s="22" t="s">
        <v>174</v>
      </c>
      <c r="N129" s="22" t="s">
        <v>172</v>
      </c>
      <c r="O129" s="22"/>
      <c r="P129" s="10" t="s">
        <v>148</v>
      </c>
      <c r="Q129" s="10" t="s">
        <v>165</v>
      </c>
      <c r="R129" s="10" t="s">
        <v>150</v>
      </c>
      <c r="S129" s="10" t="s">
        <v>151</v>
      </c>
      <c r="T129" s="2" t="s">
        <v>90</v>
      </c>
    </row>
    <row r="130" spans="1:25" x14ac:dyDescent="0.25">
      <c r="A130" s="2" t="s">
        <v>88</v>
      </c>
      <c r="B130" s="2">
        <v>3001008</v>
      </c>
      <c r="C130" s="4">
        <v>201</v>
      </c>
      <c r="D130" s="9">
        <v>1360.9849999999999</v>
      </c>
      <c r="E130" s="9">
        <v>3092.413</v>
      </c>
      <c r="F130" s="9">
        <v>575.59270000000004</v>
      </c>
      <c r="G130" s="9">
        <v>583.63310000000001</v>
      </c>
      <c r="H130" s="9">
        <v>165.53980000000001</v>
      </c>
      <c r="I130" s="2" t="s">
        <v>94</v>
      </c>
      <c r="J130" s="2" t="s">
        <v>161</v>
      </c>
      <c r="K130" s="2" t="s">
        <v>159</v>
      </c>
      <c r="L130" s="21">
        <v>4.5366187543000001</v>
      </c>
      <c r="M130" s="22" t="s">
        <v>174</v>
      </c>
      <c r="N130" s="22" t="s">
        <v>172</v>
      </c>
      <c r="O130" s="22"/>
      <c r="P130" s="10" t="s">
        <v>148</v>
      </c>
      <c r="Q130" s="10" t="s">
        <v>165</v>
      </c>
      <c r="R130" s="10" t="s">
        <v>150</v>
      </c>
      <c r="S130" s="10" t="s">
        <v>152</v>
      </c>
      <c r="T130" s="2" t="s">
        <v>99</v>
      </c>
      <c r="Y130" s="8" t="s">
        <v>93</v>
      </c>
    </row>
    <row r="131" spans="1:25" x14ac:dyDescent="0.25">
      <c r="A131" s="2" t="s">
        <v>88</v>
      </c>
      <c r="B131" s="2">
        <v>2001029</v>
      </c>
      <c r="C131" s="4">
        <v>39</v>
      </c>
      <c r="D131" s="9">
        <v>179.84379999999999</v>
      </c>
      <c r="E131" s="9">
        <v>641.36419999999998</v>
      </c>
      <c r="F131" s="9">
        <v>560.4076</v>
      </c>
      <c r="G131" s="9">
        <v>237.08080000000001</v>
      </c>
      <c r="H131" s="9">
        <v>99.337500000000006</v>
      </c>
      <c r="I131" s="2" t="s">
        <v>92</v>
      </c>
      <c r="J131" s="2" t="s">
        <v>161</v>
      </c>
      <c r="K131" s="2" t="s">
        <v>157</v>
      </c>
      <c r="L131" s="21">
        <v>6.5900068446000004</v>
      </c>
      <c r="M131" s="22" t="s">
        <v>176</v>
      </c>
      <c r="N131" s="22" t="s">
        <v>172</v>
      </c>
      <c r="O131" s="22"/>
      <c r="P131" s="10" t="s">
        <v>148</v>
      </c>
      <c r="Q131" s="10" t="s">
        <v>165</v>
      </c>
      <c r="R131" s="10" t="s">
        <v>150</v>
      </c>
      <c r="S131" s="10" t="s">
        <v>151</v>
      </c>
      <c r="T131" s="2" t="s">
        <v>90</v>
      </c>
      <c r="Y131" s="8" t="s">
        <v>93</v>
      </c>
    </row>
    <row r="132" spans="1:25" x14ac:dyDescent="0.25">
      <c r="A132" s="2" t="s">
        <v>88</v>
      </c>
      <c r="B132" s="2">
        <v>2001026</v>
      </c>
      <c r="C132" s="4">
        <v>35</v>
      </c>
      <c r="D132" s="9">
        <v>10</v>
      </c>
      <c r="E132" s="9">
        <v>10</v>
      </c>
      <c r="F132" s="9">
        <v>10</v>
      </c>
      <c r="G132" s="9">
        <v>10</v>
      </c>
      <c r="H132" s="9">
        <v>10</v>
      </c>
      <c r="I132" s="2" t="s">
        <v>89</v>
      </c>
      <c r="J132" s="2" t="s">
        <v>162</v>
      </c>
      <c r="K132" s="2" t="s">
        <v>157</v>
      </c>
      <c r="L132" s="21">
        <v>6.7268993840000002</v>
      </c>
      <c r="M132" s="22" t="s">
        <v>176</v>
      </c>
      <c r="N132" s="22" t="s">
        <v>172</v>
      </c>
      <c r="O132" s="22"/>
      <c r="P132" s="10" t="s">
        <v>148</v>
      </c>
      <c r="Q132" s="10" t="s">
        <v>164</v>
      </c>
      <c r="R132" s="10" t="s">
        <v>150</v>
      </c>
      <c r="S132" s="10" t="s">
        <v>151</v>
      </c>
      <c r="T132" s="2" t="s">
        <v>90</v>
      </c>
      <c r="Y132" s="8" t="s">
        <v>93</v>
      </c>
    </row>
    <row r="133" spans="1:25" x14ac:dyDescent="0.25">
      <c r="A133" s="2" t="s">
        <v>88</v>
      </c>
      <c r="B133" s="2">
        <v>2001073</v>
      </c>
      <c r="C133" s="4">
        <v>99</v>
      </c>
      <c r="D133" s="9">
        <v>10</v>
      </c>
      <c r="E133" s="9">
        <v>10</v>
      </c>
      <c r="F133" s="9">
        <v>10</v>
      </c>
      <c r="G133" s="9">
        <v>10</v>
      </c>
      <c r="H133" s="9">
        <v>10</v>
      </c>
      <c r="I133" s="2" t="s">
        <v>89</v>
      </c>
      <c r="J133" s="2" t="s">
        <v>162</v>
      </c>
      <c r="K133" s="2" t="s">
        <v>157</v>
      </c>
      <c r="L133" s="21">
        <v>2.1026694044999998</v>
      </c>
      <c r="M133" s="22" t="s">
        <v>171</v>
      </c>
      <c r="N133" s="22" t="s">
        <v>172</v>
      </c>
      <c r="O133" s="22"/>
      <c r="P133" s="10" t="s">
        <v>147</v>
      </c>
      <c r="Q133" s="10" t="s">
        <v>164</v>
      </c>
      <c r="R133" s="10" t="s">
        <v>150</v>
      </c>
      <c r="S133" s="10" t="s">
        <v>151</v>
      </c>
      <c r="T133" s="2" t="s">
        <v>90</v>
      </c>
      <c r="X133" s="8" t="s">
        <v>93</v>
      </c>
    </row>
    <row r="134" spans="1:25" x14ac:dyDescent="0.25">
      <c r="A134" s="2" t="s">
        <v>88</v>
      </c>
      <c r="B134" s="2">
        <v>2001071</v>
      </c>
      <c r="C134" s="4">
        <v>95</v>
      </c>
      <c r="D134" s="9">
        <v>196.06559999999999</v>
      </c>
      <c r="E134" s="9">
        <v>3436.0390000000002</v>
      </c>
      <c r="F134" s="9">
        <v>185.95419999999999</v>
      </c>
      <c r="G134" s="9">
        <v>203.88579999999999</v>
      </c>
      <c r="H134" s="9">
        <v>282.23790000000002</v>
      </c>
      <c r="I134" s="2" t="s">
        <v>96</v>
      </c>
      <c r="J134" s="2" t="s">
        <v>162</v>
      </c>
      <c r="K134" s="2" t="s">
        <v>158</v>
      </c>
      <c r="L134" s="21">
        <v>2.1081451060999998</v>
      </c>
      <c r="M134" s="22" t="s">
        <v>171</v>
      </c>
      <c r="N134" s="22" t="s">
        <v>172</v>
      </c>
      <c r="O134" s="22"/>
      <c r="P134" s="10" t="s">
        <v>147</v>
      </c>
      <c r="Q134" s="10" t="s">
        <v>164</v>
      </c>
      <c r="R134" s="10" t="s">
        <v>150</v>
      </c>
      <c r="S134" s="10" t="s">
        <v>151</v>
      </c>
      <c r="T134" s="2" t="s">
        <v>90</v>
      </c>
    </row>
    <row r="135" spans="1:25" x14ac:dyDescent="0.25">
      <c r="A135" s="2" t="s">
        <v>88</v>
      </c>
      <c r="B135" s="2">
        <v>2001046</v>
      </c>
      <c r="C135" s="4">
        <v>65</v>
      </c>
      <c r="D135" s="9">
        <v>20.240410000000001</v>
      </c>
      <c r="E135" s="9">
        <v>459.09370000000001</v>
      </c>
      <c r="F135" s="9">
        <v>139.24510000000001</v>
      </c>
      <c r="G135" s="9">
        <v>39.730310000000003</v>
      </c>
      <c r="H135" s="9">
        <v>20.57226</v>
      </c>
      <c r="I135" s="2" t="s">
        <v>91</v>
      </c>
      <c r="J135" s="2" t="s">
        <v>162</v>
      </c>
      <c r="K135" s="2" t="s">
        <v>159</v>
      </c>
      <c r="L135" s="21">
        <v>2.1546885695000002</v>
      </c>
      <c r="M135" s="22" t="s">
        <v>171</v>
      </c>
      <c r="N135" s="22" t="s">
        <v>172</v>
      </c>
      <c r="O135" s="22"/>
      <c r="P135" s="10" t="s">
        <v>147</v>
      </c>
      <c r="Q135" s="10" t="s">
        <v>164</v>
      </c>
      <c r="R135" s="10" t="s">
        <v>150</v>
      </c>
      <c r="S135" s="10" t="s">
        <v>151</v>
      </c>
      <c r="T135" s="2" t="s">
        <v>90</v>
      </c>
    </row>
    <row r="136" spans="1:25" x14ac:dyDescent="0.25">
      <c r="A136" s="2" t="s">
        <v>88</v>
      </c>
      <c r="B136" s="2">
        <v>2001095</v>
      </c>
      <c r="C136" s="4">
        <v>131</v>
      </c>
      <c r="D136" s="9">
        <v>10</v>
      </c>
      <c r="E136" s="9">
        <v>10</v>
      </c>
      <c r="F136" s="9">
        <v>10</v>
      </c>
      <c r="G136" s="9">
        <v>10</v>
      </c>
      <c r="H136" s="9">
        <v>10</v>
      </c>
      <c r="I136" s="2" t="s">
        <v>92</v>
      </c>
      <c r="J136" s="2" t="s">
        <v>161</v>
      </c>
      <c r="K136" s="2" t="s">
        <v>157</v>
      </c>
      <c r="L136" s="21">
        <v>2.2039698836000001</v>
      </c>
      <c r="M136" s="22" t="s">
        <v>171</v>
      </c>
      <c r="N136" s="22" t="s">
        <v>172</v>
      </c>
      <c r="O136" s="22"/>
      <c r="P136" s="10" t="s">
        <v>147</v>
      </c>
      <c r="Q136" s="10" t="s">
        <v>164</v>
      </c>
      <c r="R136" s="10" t="s">
        <v>150</v>
      </c>
      <c r="S136" s="10" t="s">
        <v>151</v>
      </c>
      <c r="T136" s="2" t="s">
        <v>90</v>
      </c>
    </row>
    <row r="137" spans="1:25" x14ac:dyDescent="0.25">
      <c r="A137" s="2" t="s">
        <v>88</v>
      </c>
      <c r="B137" s="2">
        <v>2001048</v>
      </c>
      <c r="C137" s="4">
        <v>69</v>
      </c>
      <c r="D137" s="9">
        <v>10</v>
      </c>
      <c r="E137" s="9">
        <v>10</v>
      </c>
      <c r="F137" s="9">
        <v>10</v>
      </c>
      <c r="G137" s="9">
        <v>10</v>
      </c>
      <c r="H137" s="9">
        <v>10</v>
      </c>
      <c r="I137" s="2" t="s">
        <v>96</v>
      </c>
      <c r="J137" s="2" t="s">
        <v>162</v>
      </c>
      <c r="K137" s="2" t="s">
        <v>158</v>
      </c>
      <c r="L137" s="21">
        <v>2.288843258</v>
      </c>
      <c r="M137" s="22" t="s">
        <v>171</v>
      </c>
      <c r="N137" s="22" t="s">
        <v>172</v>
      </c>
      <c r="O137" s="22"/>
      <c r="P137" s="10" t="s">
        <v>147</v>
      </c>
      <c r="Q137" s="10" t="s">
        <v>164</v>
      </c>
      <c r="R137" s="10" t="s">
        <v>150</v>
      </c>
      <c r="S137" s="10" t="s">
        <v>151</v>
      </c>
      <c r="T137" s="2" t="s">
        <v>90</v>
      </c>
      <c r="Y137" s="8" t="s">
        <v>93</v>
      </c>
    </row>
    <row r="138" spans="1:25" x14ac:dyDescent="0.25">
      <c r="A138" s="2" t="s">
        <v>88</v>
      </c>
      <c r="B138" s="2">
        <v>2001081</v>
      </c>
      <c r="C138" s="4">
        <v>111</v>
      </c>
      <c r="D138" s="9">
        <v>558.62720000000002</v>
      </c>
      <c r="E138" s="9">
        <v>2094.8789999999999</v>
      </c>
      <c r="F138" s="9">
        <v>1349.123</v>
      </c>
      <c r="G138" s="9">
        <v>696.72839999999997</v>
      </c>
      <c r="H138" s="9">
        <v>747.60860000000002</v>
      </c>
      <c r="I138" s="2" t="s">
        <v>89</v>
      </c>
      <c r="J138" s="2" t="s">
        <v>162</v>
      </c>
      <c r="K138" s="2" t="s">
        <v>157</v>
      </c>
      <c r="L138" s="21">
        <v>2.8637919233</v>
      </c>
      <c r="M138" s="22" t="s">
        <v>171</v>
      </c>
      <c r="N138" s="22" t="s">
        <v>172</v>
      </c>
      <c r="O138" s="22"/>
      <c r="P138" s="10" t="s">
        <v>147</v>
      </c>
      <c r="Q138" s="10" t="s">
        <v>164</v>
      </c>
      <c r="R138" s="10" t="s">
        <v>150</v>
      </c>
      <c r="S138" s="10" t="s">
        <v>151</v>
      </c>
      <c r="T138" s="2" t="s">
        <v>90</v>
      </c>
    </row>
    <row r="139" spans="1:25" x14ac:dyDescent="0.25">
      <c r="A139" s="2" t="s">
        <v>88</v>
      </c>
      <c r="B139" s="2">
        <v>2001078</v>
      </c>
      <c r="C139" s="4">
        <v>109</v>
      </c>
      <c r="D139" s="9">
        <v>111.5034</v>
      </c>
      <c r="E139" s="9">
        <v>1523.165</v>
      </c>
      <c r="F139" s="9">
        <v>419.70490000000001</v>
      </c>
      <c r="G139" s="9">
        <v>249.63249999999999</v>
      </c>
      <c r="H139" s="9">
        <v>77.865070000000003</v>
      </c>
      <c r="I139" s="2" t="s">
        <v>94</v>
      </c>
      <c r="J139" s="2" t="s">
        <v>161</v>
      </c>
      <c r="K139" s="2" t="s">
        <v>159</v>
      </c>
      <c r="L139" s="21">
        <v>3.5865845311000002</v>
      </c>
      <c r="M139" s="22" t="s">
        <v>173</v>
      </c>
      <c r="N139" s="22" t="s">
        <v>172</v>
      </c>
      <c r="O139" s="22"/>
      <c r="P139" s="10" t="s">
        <v>147</v>
      </c>
      <c r="Q139" s="10" t="s">
        <v>164</v>
      </c>
      <c r="R139" s="10" t="s">
        <v>150</v>
      </c>
      <c r="S139" s="10" t="s">
        <v>151</v>
      </c>
      <c r="T139" s="2" t="s">
        <v>90</v>
      </c>
    </row>
    <row r="140" spans="1:25" x14ac:dyDescent="0.25">
      <c r="A140" s="2" t="s">
        <v>88</v>
      </c>
      <c r="B140" s="2">
        <v>2001072</v>
      </c>
      <c r="C140" s="4">
        <v>97</v>
      </c>
      <c r="D140" s="9">
        <v>58.984450000000002</v>
      </c>
      <c r="E140" s="9">
        <v>1849.7460000000001</v>
      </c>
      <c r="F140" s="9">
        <v>587.17909999999995</v>
      </c>
      <c r="G140" s="9">
        <v>222.1181</v>
      </c>
      <c r="H140" s="9">
        <v>84.614239999999995</v>
      </c>
      <c r="I140" s="2" t="s">
        <v>92</v>
      </c>
      <c r="J140" s="2" t="s">
        <v>161</v>
      </c>
      <c r="K140" s="2" t="s">
        <v>157</v>
      </c>
      <c r="L140" s="21">
        <v>3.8412046542999998</v>
      </c>
      <c r="M140" s="22" t="s">
        <v>173</v>
      </c>
      <c r="N140" s="22" t="s">
        <v>172</v>
      </c>
      <c r="O140" s="22"/>
      <c r="P140" s="10" t="s">
        <v>147</v>
      </c>
      <c r="Q140" s="10" t="s">
        <v>164</v>
      </c>
      <c r="R140" s="10" t="s">
        <v>150</v>
      </c>
      <c r="S140" s="10" t="s">
        <v>151</v>
      </c>
      <c r="T140" s="2" t="s">
        <v>90</v>
      </c>
    </row>
    <row r="141" spans="1:25" x14ac:dyDescent="0.25">
      <c r="A141" s="2" t="s">
        <v>88</v>
      </c>
      <c r="B141" s="2">
        <v>2001037</v>
      </c>
      <c r="C141" s="4">
        <v>53</v>
      </c>
      <c r="D141" s="9">
        <v>174.60489999999999</v>
      </c>
      <c r="E141" s="9">
        <v>597.23820000000001</v>
      </c>
      <c r="F141" s="9">
        <v>294.73700000000002</v>
      </c>
      <c r="G141" s="9">
        <v>309.12090000000001</v>
      </c>
      <c r="H141" s="9">
        <v>257.9058</v>
      </c>
      <c r="I141" s="2" t="s">
        <v>91</v>
      </c>
      <c r="J141" s="2" t="s">
        <v>162</v>
      </c>
      <c r="K141" s="2" t="s">
        <v>159</v>
      </c>
      <c r="L141" s="21">
        <v>4.7008898014999998</v>
      </c>
      <c r="M141" s="22" t="s">
        <v>174</v>
      </c>
      <c r="N141" s="22" t="s">
        <v>172</v>
      </c>
      <c r="O141" s="22"/>
      <c r="P141" s="10" t="s">
        <v>148</v>
      </c>
      <c r="Q141" s="10" t="s">
        <v>165</v>
      </c>
      <c r="R141" s="10" t="s">
        <v>150</v>
      </c>
      <c r="S141" s="10" t="s">
        <v>151</v>
      </c>
      <c r="T141" s="2" t="s">
        <v>90</v>
      </c>
      <c r="X141" s="8" t="s">
        <v>93</v>
      </c>
    </row>
    <row r="142" spans="1:25" x14ac:dyDescent="0.25">
      <c r="A142" s="2" t="s">
        <v>88</v>
      </c>
      <c r="B142" s="2">
        <v>2001038</v>
      </c>
      <c r="C142" s="4">
        <v>55</v>
      </c>
      <c r="D142" s="9">
        <v>198.16050000000001</v>
      </c>
      <c r="E142" s="9">
        <v>1170.6179999999999</v>
      </c>
      <c r="F142" s="9">
        <v>781.04169999999999</v>
      </c>
      <c r="G142" s="9">
        <v>157.9676</v>
      </c>
      <c r="H142" s="9">
        <v>123.7234</v>
      </c>
      <c r="I142" s="2" t="s">
        <v>92</v>
      </c>
      <c r="J142" s="2" t="s">
        <v>161</v>
      </c>
      <c r="K142" s="2" t="s">
        <v>157</v>
      </c>
      <c r="L142" s="21">
        <v>5.3388090348999997</v>
      </c>
      <c r="M142" s="22" t="s">
        <v>175</v>
      </c>
      <c r="N142" s="22" t="s">
        <v>172</v>
      </c>
      <c r="O142" s="22"/>
      <c r="P142" s="10" t="s">
        <v>148</v>
      </c>
      <c r="Q142" s="10" t="s">
        <v>164</v>
      </c>
      <c r="R142" s="10" t="s">
        <v>150</v>
      </c>
      <c r="S142" s="10" t="s">
        <v>151</v>
      </c>
      <c r="T142" s="2" t="s">
        <v>90</v>
      </c>
      <c r="X142" s="8" t="s">
        <v>93</v>
      </c>
    </row>
    <row r="143" spans="1:25" x14ac:dyDescent="0.25">
      <c r="A143" s="2" t="s">
        <v>88</v>
      </c>
      <c r="B143" s="2">
        <v>2001001</v>
      </c>
      <c r="C143" s="4">
        <v>1</v>
      </c>
      <c r="D143" s="9">
        <v>60.500770000000003</v>
      </c>
      <c r="E143" s="9">
        <v>1159.04</v>
      </c>
      <c r="F143" s="9">
        <v>489.43459999999999</v>
      </c>
      <c r="G143" s="9">
        <v>869.84460000000001</v>
      </c>
      <c r="H143" s="9">
        <v>345.91210000000001</v>
      </c>
      <c r="I143" s="2" t="s">
        <v>89</v>
      </c>
      <c r="J143" s="2" t="s">
        <v>162</v>
      </c>
      <c r="K143" s="2" t="s">
        <v>157</v>
      </c>
      <c r="L143" s="21">
        <v>5.9493497603999996</v>
      </c>
      <c r="M143" s="22" t="s">
        <v>175</v>
      </c>
      <c r="N143" s="22" t="s">
        <v>172</v>
      </c>
      <c r="O143" s="22"/>
      <c r="P143" s="10" t="s">
        <v>148</v>
      </c>
      <c r="Q143" s="10" t="s">
        <v>164</v>
      </c>
      <c r="R143" s="10" t="s">
        <v>150</v>
      </c>
      <c r="S143" s="10" t="s">
        <v>151</v>
      </c>
      <c r="T143" s="2" t="s">
        <v>90</v>
      </c>
      <c r="Y143" s="8" t="s">
        <v>93</v>
      </c>
    </row>
    <row r="144" spans="1:25" x14ac:dyDescent="0.25">
      <c r="A144" s="2" t="s">
        <v>88</v>
      </c>
      <c r="B144" s="2">
        <v>2001003</v>
      </c>
      <c r="C144" s="4">
        <v>5</v>
      </c>
      <c r="D144" s="9">
        <v>133.0462</v>
      </c>
      <c r="E144" s="9">
        <v>1028.7840000000001</v>
      </c>
      <c r="F144" s="9">
        <v>431.82069999999999</v>
      </c>
      <c r="G144" s="9">
        <v>111.9686</v>
      </c>
      <c r="H144" s="9">
        <v>63.310679999999998</v>
      </c>
      <c r="I144" s="2" t="s">
        <v>91</v>
      </c>
      <c r="J144" s="2" t="s">
        <v>162</v>
      </c>
      <c r="K144" s="2" t="s">
        <v>159</v>
      </c>
      <c r="L144" s="21">
        <v>5.9575633127999996</v>
      </c>
      <c r="M144" s="22" t="s">
        <v>175</v>
      </c>
      <c r="N144" s="22" t="s">
        <v>172</v>
      </c>
      <c r="O144" s="22"/>
      <c r="P144" s="10" t="s">
        <v>148</v>
      </c>
      <c r="Q144" s="10" t="s">
        <v>164</v>
      </c>
      <c r="R144" s="10" t="s">
        <v>150</v>
      </c>
      <c r="S144" s="10" t="s">
        <v>151</v>
      </c>
      <c r="T144" s="2" t="s">
        <v>90</v>
      </c>
      <c r="X144" s="8" t="s">
        <v>93</v>
      </c>
      <c r="Y144" s="8" t="s">
        <v>93</v>
      </c>
    </row>
    <row r="145" spans="1:27" x14ac:dyDescent="0.25">
      <c r="A145" s="2" t="s">
        <v>88</v>
      </c>
      <c r="B145" s="2">
        <v>2001008</v>
      </c>
      <c r="C145" s="4">
        <v>11</v>
      </c>
      <c r="D145" s="9">
        <v>509.42469999999997</v>
      </c>
      <c r="E145" s="9">
        <v>1641.1590000000001</v>
      </c>
      <c r="F145" s="9">
        <v>1042.6579999999999</v>
      </c>
      <c r="G145" s="9">
        <v>234.7808</v>
      </c>
      <c r="H145" s="9">
        <v>874.87339999999995</v>
      </c>
      <c r="I145" s="2" t="s">
        <v>95</v>
      </c>
      <c r="J145" s="2" t="s">
        <v>161</v>
      </c>
      <c r="K145" s="2" t="s">
        <v>158</v>
      </c>
      <c r="L145" s="21">
        <v>6.5051334701999997</v>
      </c>
      <c r="M145" s="22" t="s">
        <v>176</v>
      </c>
      <c r="N145" s="22" t="s">
        <v>172</v>
      </c>
      <c r="O145" s="22"/>
      <c r="P145" s="10" t="s">
        <v>148</v>
      </c>
      <c r="Q145" s="10" t="s">
        <v>164</v>
      </c>
      <c r="R145" s="10" t="s">
        <v>150</v>
      </c>
      <c r="S145" s="10" t="s">
        <v>151</v>
      </c>
      <c r="T145" s="2" t="s">
        <v>90</v>
      </c>
      <c r="W145" s="8" t="s">
        <v>155</v>
      </c>
      <c r="Y145" s="8" t="s">
        <v>93</v>
      </c>
    </row>
    <row r="146" spans="1:27" x14ac:dyDescent="0.25">
      <c r="A146" s="2" t="s">
        <v>88</v>
      </c>
      <c r="B146" s="2">
        <v>2001028</v>
      </c>
      <c r="C146" s="4">
        <v>37</v>
      </c>
      <c r="D146" s="9">
        <v>241.7705</v>
      </c>
      <c r="E146" s="9">
        <v>2475.2840000000001</v>
      </c>
      <c r="F146" s="9">
        <v>1495.729</v>
      </c>
      <c r="G146" s="9">
        <v>487.8922</v>
      </c>
      <c r="H146" s="9">
        <v>308.01690000000002</v>
      </c>
      <c r="I146" s="2" t="s">
        <v>94</v>
      </c>
      <c r="J146" s="2" t="s">
        <v>161</v>
      </c>
      <c r="K146" s="2" t="s">
        <v>159</v>
      </c>
      <c r="L146" s="21">
        <v>6.8637919233</v>
      </c>
      <c r="M146" s="22" t="s">
        <v>176</v>
      </c>
      <c r="N146" s="22" t="s">
        <v>172</v>
      </c>
      <c r="O146" s="22"/>
      <c r="P146" s="10" t="s">
        <v>148</v>
      </c>
      <c r="Q146" s="10" t="s">
        <v>165</v>
      </c>
      <c r="R146" s="10" t="s">
        <v>150</v>
      </c>
      <c r="S146" s="10" t="s">
        <v>151</v>
      </c>
      <c r="T146" s="2" t="s">
        <v>90</v>
      </c>
      <c r="Y146" s="8" t="s">
        <v>93</v>
      </c>
      <c r="Z146" s="8" t="s">
        <v>93</v>
      </c>
    </row>
    <row r="147" spans="1:27" x14ac:dyDescent="0.25">
      <c r="A147" s="2" t="s">
        <v>88</v>
      </c>
      <c r="B147" s="2">
        <v>2001006</v>
      </c>
      <c r="C147" s="4">
        <v>9</v>
      </c>
      <c r="D147" s="9">
        <v>242.2576</v>
      </c>
      <c r="E147" s="9">
        <v>1249.847</v>
      </c>
      <c r="F147" s="9">
        <v>573.50969999999995</v>
      </c>
      <c r="G147" s="9">
        <v>278.62329999999997</v>
      </c>
      <c r="H147" s="9">
        <v>129.79849999999999</v>
      </c>
      <c r="I147" s="2" t="s">
        <v>94</v>
      </c>
      <c r="J147" s="2" t="s">
        <v>161</v>
      </c>
      <c r="K147" s="2" t="s">
        <v>159</v>
      </c>
      <c r="L147" s="21">
        <v>6.5681040382999996</v>
      </c>
      <c r="M147" s="22" t="s">
        <v>176</v>
      </c>
      <c r="N147" s="22" t="s">
        <v>172</v>
      </c>
      <c r="O147" s="22"/>
      <c r="P147" s="10" t="s">
        <v>148</v>
      </c>
      <c r="Q147" s="10" t="s">
        <v>164</v>
      </c>
      <c r="R147" s="10" t="s">
        <v>150</v>
      </c>
      <c r="S147" s="10" t="s">
        <v>151</v>
      </c>
      <c r="T147" s="2" t="s">
        <v>90</v>
      </c>
      <c r="X147" s="8" t="s">
        <v>93</v>
      </c>
    </row>
    <row r="148" spans="1:27" x14ac:dyDescent="0.25">
      <c r="A148" s="2" t="s">
        <v>88</v>
      </c>
      <c r="B148" s="2">
        <v>2001034</v>
      </c>
      <c r="C148" s="4">
        <v>47</v>
      </c>
      <c r="D148" s="9">
        <v>313.41579999999999</v>
      </c>
      <c r="E148" s="9">
        <v>1222.433</v>
      </c>
      <c r="F148" s="9">
        <v>1152.029</v>
      </c>
      <c r="G148" s="9">
        <v>437.94369999999998</v>
      </c>
      <c r="H148" s="9">
        <v>54.900669999999998</v>
      </c>
      <c r="I148" s="2" t="s">
        <v>95</v>
      </c>
      <c r="J148" s="2" t="s">
        <v>161</v>
      </c>
      <c r="K148" s="2" t="s">
        <v>158</v>
      </c>
      <c r="L148" s="21">
        <v>7.4360027379</v>
      </c>
      <c r="M148" s="22" t="s">
        <v>177</v>
      </c>
      <c r="N148" s="22" t="s">
        <v>172</v>
      </c>
      <c r="O148" s="22"/>
      <c r="P148" s="10" t="s">
        <v>148</v>
      </c>
      <c r="Q148" s="10" t="s">
        <v>164</v>
      </c>
      <c r="R148" s="10" t="s">
        <v>150</v>
      </c>
      <c r="S148" s="10" t="s">
        <v>151</v>
      </c>
      <c r="T148" s="2" t="s">
        <v>90</v>
      </c>
      <c r="Z148" s="8" t="s">
        <v>93</v>
      </c>
    </row>
    <row r="149" spans="1:27" x14ac:dyDescent="0.25">
      <c r="A149" s="2" t="s">
        <v>88</v>
      </c>
      <c r="B149" s="2">
        <v>2001089</v>
      </c>
      <c r="C149" s="4">
        <v>121</v>
      </c>
      <c r="D149" s="9">
        <v>160.11160000000001</v>
      </c>
      <c r="E149" s="9">
        <v>663.1943</v>
      </c>
      <c r="F149" s="9">
        <v>219.8399</v>
      </c>
      <c r="G149" s="9">
        <v>117.2642</v>
      </c>
      <c r="H149" s="9">
        <v>102.78579999999999</v>
      </c>
      <c r="I149" s="2" t="s">
        <v>94</v>
      </c>
      <c r="J149" s="2" t="s">
        <v>161</v>
      </c>
      <c r="K149" s="2" t="s">
        <v>159</v>
      </c>
      <c r="L149" s="21">
        <v>2.6995208760999998</v>
      </c>
      <c r="M149" s="22" t="s">
        <v>171</v>
      </c>
      <c r="N149" s="22" t="s">
        <v>172</v>
      </c>
      <c r="O149" s="22"/>
      <c r="P149" s="10" t="s">
        <v>147</v>
      </c>
      <c r="Q149" s="10" t="s">
        <v>165</v>
      </c>
      <c r="R149" s="10" t="s">
        <v>150</v>
      </c>
      <c r="S149" s="10" t="s">
        <v>153</v>
      </c>
      <c r="T149" s="2" t="s">
        <v>90</v>
      </c>
    </row>
    <row r="150" spans="1:27" x14ac:dyDescent="0.25">
      <c r="A150" s="2" t="s">
        <v>88</v>
      </c>
      <c r="B150" s="2">
        <v>2001013</v>
      </c>
      <c r="C150" s="4">
        <v>17</v>
      </c>
      <c r="D150" s="9">
        <v>152.64789999999999</v>
      </c>
      <c r="E150" s="9">
        <v>816.58849999999995</v>
      </c>
      <c r="F150" s="9">
        <v>384.72300000000001</v>
      </c>
      <c r="G150" s="9">
        <v>70.017619999999994</v>
      </c>
      <c r="H150" s="9">
        <v>47.06682</v>
      </c>
      <c r="I150" s="2" t="s">
        <v>95</v>
      </c>
      <c r="J150" s="2" t="s">
        <v>161</v>
      </c>
      <c r="K150" s="2" t="s">
        <v>158</v>
      </c>
      <c r="L150" s="21">
        <v>7.4852840519999999</v>
      </c>
      <c r="M150" s="22" t="s">
        <v>177</v>
      </c>
      <c r="N150" s="22" t="s">
        <v>172</v>
      </c>
      <c r="O150" s="22"/>
      <c r="P150" s="10" t="s">
        <v>148</v>
      </c>
      <c r="Q150" s="10" t="s">
        <v>165</v>
      </c>
      <c r="R150" s="10" t="s">
        <v>150</v>
      </c>
      <c r="S150" s="10" t="s">
        <v>153</v>
      </c>
      <c r="T150" s="2" t="s">
        <v>90</v>
      </c>
      <c r="Z150" s="8" t="s">
        <v>93</v>
      </c>
    </row>
    <row r="151" spans="1:27" x14ac:dyDescent="0.25">
      <c r="A151" s="2" t="s">
        <v>88</v>
      </c>
      <c r="B151" s="2">
        <v>2001067</v>
      </c>
      <c r="C151" s="4">
        <v>89</v>
      </c>
      <c r="D151" s="9">
        <v>1453.7909999999999</v>
      </c>
      <c r="E151" s="9">
        <v>5745.875</v>
      </c>
      <c r="F151" s="9">
        <v>2533.5880000000002</v>
      </c>
      <c r="G151" s="9">
        <v>1274.7360000000001</v>
      </c>
      <c r="H151" s="9">
        <v>1310.2360000000001</v>
      </c>
      <c r="I151" s="2" t="s">
        <v>91</v>
      </c>
      <c r="J151" s="2" t="s">
        <v>162</v>
      </c>
      <c r="K151" s="2" t="s">
        <v>159</v>
      </c>
      <c r="L151" s="21">
        <v>2.0889801505999999</v>
      </c>
      <c r="M151" s="22" t="s">
        <v>171</v>
      </c>
      <c r="N151" s="22" t="s">
        <v>172</v>
      </c>
      <c r="O151" s="22"/>
      <c r="P151" s="10" t="s">
        <v>147</v>
      </c>
      <c r="Q151" s="10" t="s">
        <v>164</v>
      </c>
      <c r="R151" s="10" t="s">
        <v>150</v>
      </c>
      <c r="S151" s="10" t="s">
        <v>153</v>
      </c>
      <c r="T151" s="2" t="s">
        <v>90</v>
      </c>
      <c r="X151" s="8" t="s">
        <v>93</v>
      </c>
    </row>
    <row r="152" spans="1:27" x14ac:dyDescent="0.25">
      <c r="A152" s="2" t="s">
        <v>88</v>
      </c>
      <c r="B152" s="2">
        <v>2001094</v>
      </c>
      <c r="C152" s="4">
        <v>129</v>
      </c>
      <c r="D152" s="9">
        <v>56.302160000000001</v>
      </c>
      <c r="E152" s="9">
        <v>247.47829999999999</v>
      </c>
      <c r="F152" s="9">
        <v>10</v>
      </c>
      <c r="G152" s="9">
        <v>50.387360000000001</v>
      </c>
      <c r="H152" s="9">
        <v>53.575580000000002</v>
      </c>
      <c r="I152" s="2" t="s">
        <v>95</v>
      </c>
      <c r="J152" s="2" t="s">
        <v>161</v>
      </c>
      <c r="K152" s="2" t="s">
        <v>158</v>
      </c>
      <c r="L152" s="21">
        <v>3.5674195755999998</v>
      </c>
      <c r="M152" s="22" t="s">
        <v>173</v>
      </c>
      <c r="N152" s="22" t="s">
        <v>172</v>
      </c>
      <c r="O152" s="22"/>
      <c r="P152" s="10" t="s">
        <v>147</v>
      </c>
      <c r="Q152" s="10" t="s">
        <v>164</v>
      </c>
      <c r="R152" s="10" t="s">
        <v>150</v>
      </c>
      <c r="S152" s="10" t="s">
        <v>153</v>
      </c>
      <c r="T152" s="2" t="s">
        <v>90</v>
      </c>
      <c r="X152" s="8" t="s">
        <v>93</v>
      </c>
      <c r="AA152" s="8" t="s">
        <v>93</v>
      </c>
    </row>
    <row r="153" spans="1:27" x14ac:dyDescent="0.25">
      <c r="A153" s="2" t="s">
        <v>88</v>
      </c>
      <c r="B153" s="2">
        <v>2001043</v>
      </c>
      <c r="C153" s="4">
        <v>59</v>
      </c>
      <c r="D153" s="9">
        <v>175.37459999999999</v>
      </c>
      <c r="E153" s="9">
        <v>2067.7220000000002</v>
      </c>
      <c r="F153" s="9">
        <v>610.51750000000004</v>
      </c>
      <c r="G153" s="9">
        <v>314.94569999999999</v>
      </c>
      <c r="H153" s="9">
        <v>143.89670000000001</v>
      </c>
      <c r="I153" s="2" t="s">
        <v>91</v>
      </c>
      <c r="J153" s="2" t="s">
        <v>162</v>
      </c>
      <c r="K153" s="2" t="s">
        <v>159</v>
      </c>
      <c r="L153" s="21">
        <v>4.8350444900999996</v>
      </c>
      <c r="M153" s="22" t="s">
        <v>174</v>
      </c>
      <c r="N153" s="22" t="s">
        <v>172</v>
      </c>
      <c r="O153" s="22"/>
      <c r="P153" s="10" t="s">
        <v>148</v>
      </c>
      <c r="Q153" s="10" t="s">
        <v>165</v>
      </c>
      <c r="R153" s="10" t="s">
        <v>150</v>
      </c>
      <c r="S153" s="10" t="s">
        <v>151</v>
      </c>
      <c r="T153" s="2" t="s">
        <v>90</v>
      </c>
    </row>
    <row r="154" spans="1:27" x14ac:dyDescent="0.25">
      <c r="A154" s="2" t="s">
        <v>88</v>
      </c>
      <c r="B154" s="2">
        <v>2001064</v>
      </c>
      <c r="C154" s="4">
        <v>85</v>
      </c>
      <c r="D154" s="9">
        <v>129.583</v>
      </c>
      <c r="E154" s="9">
        <v>2591.2979999999998</v>
      </c>
      <c r="F154" s="9">
        <v>208.977</v>
      </c>
      <c r="G154" s="9">
        <v>907.91639999999995</v>
      </c>
      <c r="H154" s="9">
        <v>106.4782</v>
      </c>
      <c r="I154" s="2" t="s">
        <v>92</v>
      </c>
      <c r="J154" s="2" t="s">
        <v>161</v>
      </c>
      <c r="K154" s="2" t="s">
        <v>157</v>
      </c>
      <c r="L154" s="21">
        <v>2.3353867213999999</v>
      </c>
      <c r="M154" s="22" t="s">
        <v>171</v>
      </c>
      <c r="N154" s="22" t="s">
        <v>172</v>
      </c>
      <c r="O154" s="22"/>
      <c r="P154" s="10" t="s">
        <v>147</v>
      </c>
      <c r="Q154" s="10" t="s">
        <v>165</v>
      </c>
      <c r="R154" s="10" t="s">
        <v>150</v>
      </c>
      <c r="S154" s="10" t="s">
        <v>152</v>
      </c>
      <c r="T154" s="2" t="s">
        <v>90</v>
      </c>
    </row>
    <row r="155" spans="1:27" x14ac:dyDescent="0.25">
      <c r="A155" s="2" t="s">
        <v>88</v>
      </c>
      <c r="B155" s="2">
        <v>2001086</v>
      </c>
      <c r="C155" s="4">
        <v>119</v>
      </c>
      <c r="D155" s="9">
        <v>269.62099999999998</v>
      </c>
      <c r="E155" s="9">
        <v>997.44349999999997</v>
      </c>
      <c r="F155" s="9">
        <v>504.97109999999998</v>
      </c>
      <c r="G155" s="9">
        <v>225.1739</v>
      </c>
      <c r="H155" s="9">
        <v>269.5231</v>
      </c>
      <c r="I155" s="2" t="s">
        <v>96</v>
      </c>
      <c r="J155" s="2" t="s">
        <v>162</v>
      </c>
      <c r="K155" s="2" t="s">
        <v>158</v>
      </c>
      <c r="L155" s="21">
        <v>2.6009582478</v>
      </c>
      <c r="M155" s="22" t="s">
        <v>171</v>
      </c>
      <c r="N155" s="22" t="s">
        <v>172</v>
      </c>
      <c r="O155" s="22"/>
      <c r="P155" s="10" t="s">
        <v>147</v>
      </c>
      <c r="Q155" s="10" t="s">
        <v>164</v>
      </c>
      <c r="R155" s="10" t="s">
        <v>150</v>
      </c>
      <c r="S155" s="10" t="s">
        <v>154</v>
      </c>
      <c r="T155" s="2" t="s">
        <v>90</v>
      </c>
    </row>
    <row r="156" spans="1:27" x14ac:dyDescent="0.25">
      <c r="A156" s="2" t="s">
        <v>88</v>
      </c>
      <c r="B156" s="2">
        <v>2001085</v>
      </c>
      <c r="C156" s="4">
        <v>117</v>
      </c>
      <c r="D156" s="9">
        <v>163.7242</v>
      </c>
      <c r="E156" s="9">
        <v>839.61850000000004</v>
      </c>
      <c r="F156" s="9">
        <v>216.69739999999999</v>
      </c>
      <c r="G156" s="9">
        <v>123.0881</v>
      </c>
      <c r="H156" s="9">
        <v>130.47890000000001</v>
      </c>
      <c r="I156" s="2" t="s">
        <v>89</v>
      </c>
      <c r="J156" s="2" t="s">
        <v>162</v>
      </c>
      <c r="K156" s="2" t="s">
        <v>157</v>
      </c>
      <c r="L156" s="21">
        <v>2.8692676249</v>
      </c>
      <c r="M156" s="22" t="s">
        <v>171</v>
      </c>
      <c r="N156" s="22" t="s">
        <v>172</v>
      </c>
      <c r="O156" s="22"/>
      <c r="P156" s="10" t="s">
        <v>147</v>
      </c>
      <c r="Q156" s="10" t="s">
        <v>164</v>
      </c>
      <c r="R156" s="10" t="s">
        <v>150</v>
      </c>
      <c r="S156" s="10" t="s">
        <v>154</v>
      </c>
      <c r="T156" s="2" t="s">
        <v>90</v>
      </c>
    </row>
    <row r="157" spans="1:27" x14ac:dyDescent="0.25">
      <c r="D157" s="9"/>
      <c r="E157" s="9"/>
      <c r="F157" s="9"/>
      <c r="G157" s="9"/>
      <c r="H157" s="9"/>
    </row>
    <row r="158" spans="1:27" x14ac:dyDescent="0.25">
      <c r="D158" s="9"/>
      <c r="E158" s="9"/>
      <c r="F158" s="9"/>
      <c r="G158" s="9"/>
      <c r="H158" s="9"/>
    </row>
    <row r="159" spans="1:27" x14ac:dyDescent="0.25">
      <c r="D159" s="11"/>
      <c r="E159" s="11"/>
      <c r="F159" s="11"/>
      <c r="G159" s="11"/>
      <c r="H159" s="11"/>
    </row>
    <row r="160" spans="1:27" x14ac:dyDescent="0.25">
      <c r="D160" s="9"/>
      <c r="E160" s="9"/>
      <c r="F160" s="9"/>
      <c r="G160" s="9"/>
      <c r="H160" s="9"/>
    </row>
    <row r="161" spans="4:8" x14ac:dyDescent="0.25">
      <c r="D161" s="9"/>
      <c r="E161" s="9"/>
      <c r="F161" s="9"/>
      <c r="G161" s="9"/>
      <c r="H161" s="9"/>
    </row>
    <row r="162" spans="4:8" x14ac:dyDescent="0.25">
      <c r="D162" s="9"/>
      <c r="E162" s="9"/>
      <c r="F162" s="9"/>
      <c r="G162" s="9"/>
      <c r="H162" s="9"/>
    </row>
    <row r="163" spans="4:8" x14ac:dyDescent="0.25">
      <c r="D163" s="11"/>
      <c r="E163" s="11"/>
      <c r="F163" s="11"/>
      <c r="G163" s="11"/>
      <c r="H163" s="11"/>
    </row>
    <row r="164" spans="4:8" x14ac:dyDescent="0.25">
      <c r="D164" s="9"/>
      <c r="E164" s="9"/>
      <c r="F164" s="9"/>
      <c r="G164" s="9"/>
      <c r="H164" s="9"/>
    </row>
    <row r="165" spans="4:8" x14ac:dyDescent="0.25">
      <c r="D165" s="9"/>
      <c r="E165" s="9"/>
      <c r="F165" s="9"/>
      <c r="G165" s="9"/>
      <c r="H165" s="9"/>
    </row>
    <row r="166" spans="4:8" x14ac:dyDescent="0.25">
      <c r="D166" s="9"/>
      <c r="E166" s="9"/>
      <c r="F166" s="9"/>
      <c r="G166" s="9"/>
      <c r="H166" s="9"/>
    </row>
    <row r="167" spans="4:8" x14ac:dyDescent="0.25">
      <c r="D167" s="9"/>
      <c r="E167" s="9"/>
      <c r="F167" s="9"/>
      <c r="G167" s="9"/>
      <c r="H167" s="9"/>
    </row>
    <row r="168" spans="4:8" x14ac:dyDescent="0.25">
      <c r="D168" s="9"/>
      <c r="E168" s="9"/>
      <c r="F168" s="9"/>
      <c r="G168" s="9"/>
      <c r="H168" s="9"/>
    </row>
    <row r="169" spans="4:8" x14ac:dyDescent="0.25">
      <c r="D169" s="9"/>
      <c r="E169" s="9"/>
      <c r="F169" s="9"/>
      <c r="G169" s="9"/>
      <c r="H169" s="9"/>
    </row>
    <row r="170" spans="4:8" x14ac:dyDescent="0.25">
      <c r="D170" s="9"/>
      <c r="E170" s="9"/>
      <c r="F170" s="9"/>
      <c r="G170" s="9"/>
      <c r="H170" s="9"/>
    </row>
    <row r="171" spans="4:8" x14ac:dyDescent="0.25">
      <c r="D171" s="9"/>
      <c r="E171" s="9"/>
      <c r="F171" s="9"/>
      <c r="G171" s="9"/>
      <c r="H171" s="9"/>
    </row>
    <row r="172" spans="4:8" x14ac:dyDescent="0.25">
      <c r="D172" s="9"/>
      <c r="E172" s="9"/>
      <c r="F172" s="9"/>
      <c r="G172" s="9"/>
      <c r="H172" s="9"/>
    </row>
    <row r="173" spans="4:8" x14ac:dyDescent="0.25">
      <c r="D173" s="9"/>
      <c r="E173" s="9"/>
      <c r="F173" s="9"/>
      <c r="G173" s="9"/>
      <c r="H173" s="9"/>
    </row>
    <row r="174" spans="4:8" x14ac:dyDescent="0.25">
      <c r="D174" s="9"/>
      <c r="E174" s="9"/>
      <c r="F174" s="9"/>
      <c r="G174" s="9"/>
      <c r="H174" s="9"/>
    </row>
    <row r="175" spans="4:8" x14ac:dyDescent="0.25">
      <c r="D175" s="9"/>
      <c r="E175" s="9"/>
      <c r="F175" s="9"/>
      <c r="G175" s="9"/>
      <c r="H175" s="9"/>
    </row>
    <row r="176" spans="4:8" x14ac:dyDescent="0.25">
      <c r="D176" s="9"/>
      <c r="E176" s="9"/>
      <c r="F176" s="9"/>
      <c r="G176" s="9"/>
      <c r="H176" s="9"/>
    </row>
    <row r="177" spans="4:8" x14ac:dyDescent="0.25">
      <c r="D177" s="9"/>
      <c r="E177" s="9"/>
      <c r="F177" s="9"/>
      <c r="G177" s="9"/>
      <c r="H177" s="9"/>
    </row>
    <row r="178" spans="4:8" x14ac:dyDescent="0.25">
      <c r="D178" s="9"/>
      <c r="E178" s="9"/>
      <c r="F178" s="9"/>
      <c r="G178" s="9"/>
      <c r="H178" s="9"/>
    </row>
    <row r="179" spans="4:8" x14ac:dyDescent="0.25">
      <c r="D179" s="9"/>
      <c r="E179" s="9"/>
      <c r="F179" s="9"/>
      <c r="G179" s="9"/>
      <c r="H179" s="9"/>
    </row>
    <row r="180" spans="4:8" x14ac:dyDescent="0.25">
      <c r="D180" s="9"/>
      <c r="E180" s="9"/>
      <c r="F180" s="9"/>
      <c r="G180" s="9"/>
      <c r="H180" s="9"/>
    </row>
    <row r="181" spans="4:8" x14ac:dyDescent="0.25">
      <c r="D181" s="9"/>
      <c r="E181" s="9"/>
      <c r="F181" s="9"/>
      <c r="G181" s="9"/>
      <c r="H181" s="9"/>
    </row>
    <row r="182" spans="4:8" x14ac:dyDescent="0.25">
      <c r="D182" s="9"/>
      <c r="E182" s="9"/>
      <c r="F182" s="9"/>
      <c r="G182" s="9"/>
      <c r="H182" s="9"/>
    </row>
    <row r="183" spans="4:8" x14ac:dyDescent="0.25">
      <c r="D183" s="9"/>
      <c r="E183" s="9"/>
      <c r="F183" s="9"/>
      <c r="G183" s="9"/>
      <c r="H183" s="9"/>
    </row>
    <row r="184" spans="4:8" x14ac:dyDescent="0.25">
      <c r="D184" s="9"/>
      <c r="E184" s="9"/>
      <c r="F184" s="9"/>
      <c r="G184" s="9"/>
      <c r="H184" s="9"/>
    </row>
    <row r="185" spans="4:8" x14ac:dyDescent="0.25">
      <c r="D185" s="9"/>
      <c r="E185" s="9"/>
      <c r="F185" s="9"/>
      <c r="G185" s="9"/>
      <c r="H185" s="9"/>
    </row>
    <row r="186" spans="4:8" x14ac:dyDescent="0.25">
      <c r="D186" s="9"/>
      <c r="E186" s="9"/>
      <c r="F186" s="9"/>
      <c r="G186" s="9"/>
      <c r="H186" s="9"/>
    </row>
    <row r="187" spans="4:8" x14ac:dyDescent="0.25">
      <c r="D187" s="9"/>
      <c r="E187" s="9"/>
      <c r="F187" s="9"/>
      <c r="G187" s="9"/>
      <c r="H187" s="9"/>
    </row>
    <row r="188" spans="4:8" x14ac:dyDescent="0.25">
      <c r="D188" s="9"/>
      <c r="E188" s="9"/>
      <c r="F188" s="9"/>
      <c r="G188" s="9"/>
      <c r="H188" s="9"/>
    </row>
    <row r="189" spans="4:8" x14ac:dyDescent="0.25">
      <c r="D189" s="9"/>
      <c r="E189" s="9"/>
      <c r="F189" s="9"/>
      <c r="G189" s="9"/>
      <c r="H189" s="9"/>
    </row>
    <row r="190" spans="4:8" x14ac:dyDescent="0.25">
      <c r="D190" s="9"/>
      <c r="E190" s="9"/>
      <c r="F190" s="9"/>
      <c r="G190" s="9"/>
      <c r="H190" s="9"/>
    </row>
    <row r="191" spans="4:8" x14ac:dyDescent="0.25">
      <c r="D191" s="9"/>
      <c r="E191" s="9"/>
      <c r="F191" s="9"/>
      <c r="G191" s="9"/>
      <c r="H191" s="9"/>
    </row>
    <row r="192" spans="4:8" x14ac:dyDescent="0.25">
      <c r="D192" s="9"/>
      <c r="E192" s="9"/>
      <c r="F192" s="9"/>
      <c r="G192" s="9"/>
      <c r="H192" s="9"/>
    </row>
    <row r="193" spans="4:8" x14ac:dyDescent="0.25">
      <c r="D193" s="9"/>
      <c r="E193" s="9"/>
      <c r="F193" s="9"/>
      <c r="G193" s="9"/>
      <c r="H193" s="9"/>
    </row>
    <row r="194" spans="4:8" x14ac:dyDescent="0.25">
      <c r="D194" s="9"/>
      <c r="E194" s="9"/>
      <c r="F194" s="9"/>
      <c r="G194" s="9"/>
      <c r="H194" s="9"/>
    </row>
    <row r="195" spans="4:8" x14ac:dyDescent="0.25">
      <c r="D195" s="9"/>
      <c r="E195" s="9"/>
      <c r="F195" s="9"/>
      <c r="G195" s="9"/>
      <c r="H195" s="9"/>
    </row>
    <row r="196" spans="4:8" x14ac:dyDescent="0.25">
      <c r="D196" s="9"/>
      <c r="E196" s="9"/>
      <c r="F196" s="9"/>
      <c r="G196" s="9"/>
      <c r="H196" s="9"/>
    </row>
    <row r="197" spans="4:8" x14ac:dyDescent="0.25">
      <c r="D197" s="9"/>
      <c r="E197" s="9"/>
      <c r="F197" s="9"/>
      <c r="G197" s="9"/>
      <c r="H197" s="9"/>
    </row>
    <row r="198" spans="4:8" x14ac:dyDescent="0.25">
      <c r="D198" s="9"/>
      <c r="E198" s="9"/>
      <c r="F198" s="9"/>
      <c r="G198" s="9"/>
      <c r="H198" s="9"/>
    </row>
    <row r="199" spans="4:8" x14ac:dyDescent="0.25">
      <c r="D199" s="9"/>
      <c r="E199" s="9"/>
      <c r="F199" s="9"/>
      <c r="G199" s="9"/>
      <c r="H199" s="9"/>
    </row>
    <row r="200" spans="4:8" x14ac:dyDescent="0.25">
      <c r="D200" s="9"/>
      <c r="E200" s="9"/>
      <c r="F200" s="9"/>
      <c r="G200" s="9"/>
      <c r="H200" s="9"/>
    </row>
    <row r="201" spans="4:8" x14ac:dyDescent="0.25">
      <c r="D201" s="9"/>
      <c r="E201" s="9"/>
      <c r="F201" s="9"/>
      <c r="G201" s="9"/>
      <c r="H201" s="9"/>
    </row>
    <row r="202" spans="4:8" x14ac:dyDescent="0.25">
      <c r="D202" s="9"/>
      <c r="E202" s="9"/>
      <c r="F202" s="9"/>
      <c r="G202" s="9"/>
      <c r="H202" s="9"/>
    </row>
    <row r="203" spans="4:8" x14ac:dyDescent="0.25">
      <c r="D203" s="9"/>
      <c r="E203" s="9"/>
      <c r="F203" s="9"/>
      <c r="G203" s="9"/>
      <c r="H203" s="9"/>
    </row>
    <row r="204" spans="4:8" x14ac:dyDescent="0.25">
      <c r="D204" s="9"/>
      <c r="E204" s="9"/>
      <c r="F204" s="9"/>
      <c r="G204" s="9"/>
      <c r="H204" s="9"/>
    </row>
    <row r="205" spans="4:8" x14ac:dyDescent="0.25">
      <c r="D205" s="9"/>
      <c r="E205" s="9"/>
      <c r="F205" s="9"/>
      <c r="G205" s="9"/>
      <c r="H205" s="9"/>
    </row>
    <row r="206" spans="4:8" x14ac:dyDescent="0.25">
      <c r="D206" s="9"/>
      <c r="E206" s="9"/>
      <c r="F206" s="9"/>
      <c r="G206" s="9"/>
      <c r="H206" s="9"/>
    </row>
    <row r="207" spans="4:8" x14ac:dyDescent="0.25">
      <c r="D207" s="9"/>
      <c r="E207" s="9"/>
      <c r="F207" s="9"/>
      <c r="G207" s="9"/>
      <c r="H207" s="9"/>
    </row>
    <row r="208" spans="4:8" x14ac:dyDescent="0.25">
      <c r="D208" s="9"/>
      <c r="E208" s="9"/>
      <c r="F208" s="9"/>
      <c r="G208" s="9"/>
      <c r="H208" s="9"/>
    </row>
    <row r="209" spans="4:8" x14ac:dyDescent="0.25">
      <c r="D209" s="9"/>
      <c r="E209" s="9"/>
      <c r="F209" s="9"/>
      <c r="G209" s="9"/>
      <c r="H209" s="9"/>
    </row>
    <row r="210" spans="4:8" x14ac:dyDescent="0.25">
      <c r="D210" s="9"/>
      <c r="E210" s="9"/>
      <c r="F210" s="11"/>
      <c r="G210" s="11"/>
      <c r="H210" s="11"/>
    </row>
    <row r="211" spans="4:8" x14ac:dyDescent="0.25">
      <c r="D211" s="9"/>
      <c r="E211" s="9"/>
      <c r="F211" s="9"/>
      <c r="G211" s="9"/>
      <c r="H211" s="9"/>
    </row>
    <row r="212" spans="4:8" x14ac:dyDescent="0.25">
      <c r="D212" s="9"/>
      <c r="E212" s="9"/>
      <c r="F212" s="9"/>
      <c r="G212" s="9"/>
      <c r="H212" s="9"/>
    </row>
    <row r="213" spans="4:8" x14ac:dyDescent="0.25">
      <c r="D213" s="9"/>
      <c r="E213" s="9"/>
      <c r="F213" s="11"/>
      <c r="G213" s="11"/>
      <c r="H213" s="11"/>
    </row>
    <row r="214" spans="4:8" x14ac:dyDescent="0.25">
      <c r="D214" s="9"/>
      <c r="E214" s="9"/>
      <c r="F214" s="9"/>
      <c r="G214" s="9"/>
      <c r="H214" s="9"/>
    </row>
    <row r="215" spans="4:8" x14ac:dyDescent="0.25">
      <c r="D215" s="9"/>
      <c r="E215" s="9"/>
      <c r="F215" s="9"/>
      <c r="G215" s="9"/>
      <c r="H215" s="9"/>
    </row>
    <row r="216" spans="4:8" x14ac:dyDescent="0.25">
      <c r="D216" s="9"/>
      <c r="E216" s="9"/>
      <c r="F216" s="9"/>
      <c r="G216" s="9"/>
      <c r="H216" s="9"/>
    </row>
    <row r="217" spans="4:8" x14ac:dyDescent="0.25">
      <c r="D217" s="9"/>
      <c r="E217" s="9"/>
      <c r="F217" s="9"/>
      <c r="G217" s="9"/>
      <c r="H217" s="9"/>
    </row>
    <row r="218" spans="4:8" x14ac:dyDescent="0.25">
      <c r="D218" s="9"/>
      <c r="E218" s="9"/>
      <c r="F218" s="9"/>
      <c r="G218" s="9"/>
      <c r="H218" s="9"/>
    </row>
    <row r="219" spans="4:8" x14ac:dyDescent="0.25">
      <c r="D219" s="9"/>
      <c r="E219" s="9"/>
      <c r="F219" s="9"/>
      <c r="G219" s="9"/>
      <c r="H219" s="9"/>
    </row>
    <row r="220" spans="4:8" x14ac:dyDescent="0.25">
      <c r="D220" s="9"/>
      <c r="E220" s="9"/>
      <c r="F220" s="9"/>
      <c r="G220" s="9"/>
      <c r="H220" s="9"/>
    </row>
    <row r="221" spans="4:8" x14ac:dyDescent="0.25">
      <c r="D221" s="9"/>
      <c r="E221" s="9"/>
      <c r="F221" s="9"/>
      <c r="G221" s="9"/>
      <c r="H221" s="9"/>
    </row>
    <row r="222" spans="4:8" x14ac:dyDescent="0.25">
      <c r="D222" s="9"/>
      <c r="E222" s="9"/>
      <c r="F222" s="9"/>
      <c r="G222" s="9"/>
      <c r="H222" s="9"/>
    </row>
    <row r="223" spans="4:8" x14ac:dyDescent="0.25">
      <c r="D223" s="9"/>
      <c r="E223" s="9"/>
      <c r="F223" s="9"/>
      <c r="G223" s="9"/>
      <c r="H223" s="9"/>
    </row>
    <row r="224" spans="4:8" x14ac:dyDescent="0.25">
      <c r="D224" s="9"/>
      <c r="E224" s="9"/>
      <c r="F224" s="9"/>
      <c r="G224" s="9"/>
      <c r="H224" s="9"/>
    </row>
    <row r="225" spans="4:8" x14ac:dyDescent="0.25">
      <c r="D225" s="9"/>
      <c r="E225" s="9"/>
      <c r="F225" s="9"/>
      <c r="G225" s="9"/>
      <c r="H225" s="9"/>
    </row>
    <row r="226" spans="4:8" x14ac:dyDescent="0.25">
      <c r="D226" s="9"/>
      <c r="E226" s="9"/>
      <c r="F226" s="9"/>
      <c r="G226" s="9"/>
      <c r="H226" s="9"/>
    </row>
    <row r="227" spans="4:8" x14ac:dyDescent="0.25">
      <c r="D227" s="9"/>
      <c r="E227" s="9"/>
      <c r="F227" s="9"/>
      <c r="G227" s="9"/>
      <c r="H227" s="9"/>
    </row>
    <row r="228" spans="4:8" x14ac:dyDescent="0.25">
      <c r="D228" s="9"/>
      <c r="E228" s="9"/>
      <c r="F228" s="9"/>
      <c r="G228" s="9"/>
      <c r="H228" s="9"/>
    </row>
    <row r="229" spans="4:8" x14ac:dyDescent="0.25">
      <c r="D229" s="9"/>
      <c r="E229" s="9"/>
      <c r="F229" s="9"/>
      <c r="G229" s="9"/>
      <c r="H229" s="9"/>
    </row>
    <row r="230" spans="4:8" x14ac:dyDescent="0.25">
      <c r="D230" s="9"/>
      <c r="E230" s="9"/>
      <c r="F230" s="9"/>
      <c r="G230" s="9"/>
      <c r="H230" s="9"/>
    </row>
    <row r="231" spans="4:8" x14ac:dyDescent="0.25">
      <c r="D231" s="9"/>
      <c r="E231" s="9"/>
      <c r="F231" s="9"/>
      <c r="G231" s="9"/>
      <c r="H231" s="9"/>
    </row>
    <row r="232" spans="4:8" x14ac:dyDescent="0.25">
      <c r="D232" s="9"/>
      <c r="E232" s="9"/>
      <c r="F232" s="9"/>
      <c r="G232" s="9"/>
      <c r="H232" s="9"/>
    </row>
    <row r="233" spans="4:8" x14ac:dyDescent="0.25">
      <c r="D233" s="9"/>
      <c r="E233" s="9"/>
      <c r="F233" s="9"/>
      <c r="G233" s="9"/>
      <c r="H233" s="9"/>
    </row>
    <row r="234" spans="4:8" x14ac:dyDescent="0.25">
      <c r="D234" s="9"/>
      <c r="E234" s="9"/>
      <c r="F234" s="9"/>
      <c r="G234" s="9"/>
      <c r="H234" s="9"/>
    </row>
    <row r="235" spans="4:8" x14ac:dyDescent="0.25">
      <c r="D235" s="9"/>
      <c r="E235" s="9"/>
      <c r="F235" s="9"/>
      <c r="G235" s="9"/>
      <c r="H235" s="9"/>
    </row>
    <row r="236" spans="4:8" x14ac:dyDescent="0.25">
      <c r="D236" s="9"/>
      <c r="E236" s="9"/>
      <c r="F236" s="9"/>
      <c r="G236" s="9"/>
      <c r="H236" s="9"/>
    </row>
    <row r="237" spans="4:8" x14ac:dyDescent="0.25">
      <c r="D237" s="9"/>
      <c r="E237" s="9"/>
      <c r="F237" s="9"/>
      <c r="G237" s="9"/>
      <c r="H237" s="9"/>
    </row>
    <row r="238" spans="4:8" x14ac:dyDescent="0.25">
      <c r="D238" s="9"/>
      <c r="E238" s="9"/>
      <c r="F238" s="9"/>
      <c r="G238" s="9"/>
      <c r="H238" s="9"/>
    </row>
    <row r="239" spans="4:8" x14ac:dyDescent="0.25">
      <c r="D239" s="9"/>
      <c r="E239" s="9"/>
      <c r="F239" s="9"/>
      <c r="G239" s="9"/>
      <c r="H239" s="9"/>
    </row>
    <row r="240" spans="4:8" x14ac:dyDescent="0.25">
      <c r="D240" s="9"/>
      <c r="E240" s="9"/>
      <c r="F240" s="9"/>
      <c r="G240" s="9"/>
      <c r="H240" s="9"/>
    </row>
    <row r="241" spans="4:8" x14ac:dyDescent="0.25">
      <c r="D241" s="9"/>
      <c r="E241" s="9"/>
      <c r="F241" s="9"/>
      <c r="G241" s="9"/>
      <c r="H241" s="9"/>
    </row>
    <row r="242" spans="4:8" x14ac:dyDescent="0.25">
      <c r="D242" s="9"/>
      <c r="E242" s="9"/>
      <c r="F242" s="9"/>
      <c r="G242" s="9"/>
      <c r="H242" s="9"/>
    </row>
    <row r="243" spans="4:8" x14ac:dyDescent="0.25">
      <c r="D243" s="9"/>
      <c r="E243" s="9"/>
      <c r="F243" s="9"/>
      <c r="G243" s="9"/>
      <c r="H243" s="9"/>
    </row>
    <row r="244" spans="4:8" x14ac:dyDescent="0.25">
      <c r="D244" s="9"/>
      <c r="E244" s="9"/>
      <c r="F244" s="9"/>
      <c r="G244" s="9"/>
      <c r="H244" s="9"/>
    </row>
    <row r="245" spans="4:8" x14ac:dyDescent="0.25">
      <c r="D245" s="9"/>
      <c r="E245" s="9"/>
      <c r="F245" s="9"/>
      <c r="G245" s="9"/>
      <c r="H245" s="9"/>
    </row>
    <row r="246" spans="4:8" x14ac:dyDescent="0.25">
      <c r="D246" s="9"/>
      <c r="E246" s="9"/>
      <c r="F246" s="9"/>
      <c r="G246" s="9"/>
      <c r="H246" s="9"/>
    </row>
    <row r="247" spans="4:8" x14ac:dyDescent="0.25">
      <c r="D247" s="9"/>
      <c r="E247" s="9"/>
      <c r="F247" s="9"/>
      <c r="G247" s="9"/>
      <c r="H247" s="9"/>
    </row>
    <row r="248" spans="4:8" x14ac:dyDescent="0.25">
      <c r="D248" s="9"/>
      <c r="E248" s="9"/>
      <c r="F248" s="9"/>
      <c r="G248" s="9"/>
      <c r="H248" s="9"/>
    </row>
    <row r="249" spans="4:8" x14ac:dyDescent="0.25">
      <c r="D249" s="9"/>
      <c r="E249" s="9"/>
      <c r="F249" s="9"/>
      <c r="G249" s="9"/>
      <c r="H249" s="9"/>
    </row>
    <row r="250" spans="4:8" x14ac:dyDescent="0.25">
      <c r="D250" s="9"/>
      <c r="E250" s="9"/>
      <c r="F250" s="9"/>
      <c r="G250" s="9"/>
      <c r="H250" s="9"/>
    </row>
    <row r="251" spans="4:8" x14ac:dyDescent="0.25">
      <c r="D251" s="9"/>
      <c r="E251" s="9"/>
      <c r="F251" s="9"/>
      <c r="G251" s="9"/>
      <c r="H251" s="9"/>
    </row>
    <row r="252" spans="4:8" x14ac:dyDescent="0.25">
      <c r="D252" s="9"/>
      <c r="E252" s="9"/>
      <c r="F252" s="9"/>
      <c r="G252" s="9"/>
      <c r="H252" s="9"/>
    </row>
    <row r="253" spans="4:8" x14ac:dyDescent="0.25">
      <c r="D253" s="9"/>
      <c r="E253" s="9"/>
      <c r="F253" s="9"/>
      <c r="G253" s="9"/>
      <c r="H253" s="9"/>
    </row>
    <row r="254" spans="4:8" x14ac:dyDescent="0.25">
      <c r="D254" s="9"/>
      <c r="E254" s="9"/>
      <c r="F254" s="9"/>
      <c r="G254" s="9"/>
      <c r="H254" s="9"/>
    </row>
    <row r="255" spans="4:8" x14ac:dyDescent="0.25">
      <c r="D255" s="9"/>
      <c r="E255" s="9"/>
      <c r="F255" s="9"/>
      <c r="G255" s="9"/>
      <c r="H255" s="9"/>
    </row>
    <row r="256" spans="4:8" x14ac:dyDescent="0.25">
      <c r="D256" s="9"/>
      <c r="E256" s="9"/>
      <c r="F256" s="9"/>
      <c r="G256" s="9"/>
      <c r="H256" s="9"/>
    </row>
    <row r="257" spans="4:8" x14ac:dyDescent="0.25">
      <c r="D257" s="9"/>
      <c r="E257" s="9"/>
      <c r="F257" s="9"/>
      <c r="G257" s="9"/>
      <c r="H257" s="9"/>
    </row>
    <row r="258" spans="4:8" x14ac:dyDescent="0.25">
      <c r="D258" s="9"/>
      <c r="E258" s="9"/>
      <c r="F258" s="9"/>
      <c r="G258" s="9"/>
      <c r="H258" s="9"/>
    </row>
    <row r="259" spans="4:8" x14ac:dyDescent="0.25">
      <c r="D259" s="9"/>
      <c r="E259" s="9"/>
      <c r="F259" s="9"/>
      <c r="G259" s="9"/>
      <c r="H259" s="9"/>
    </row>
    <row r="260" spans="4:8" x14ac:dyDescent="0.25">
      <c r="D260" s="9"/>
      <c r="E260" s="9"/>
      <c r="F260" s="9"/>
      <c r="G260" s="9"/>
      <c r="H260" s="9"/>
    </row>
    <row r="261" spans="4:8" x14ac:dyDescent="0.25">
      <c r="D261" s="9"/>
      <c r="E261" s="9"/>
      <c r="F261" s="9"/>
      <c r="G261" s="9"/>
      <c r="H261" s="9"/>
    </row>
    <row r="262" spans="4:8" x14ac:dyDescent="0.25">
      <c r="D262" s="9"/>
      <c r="E262" s="9"/>
      <c r="F262" s="9"/>
      <c r="G262" s="9"/>
      <c r="H262" s="9"/>
    </row>
    <row r="263" spans="4:8" x14ac:dyDescent="0.25">
      <c r="D263" s="9"/>
      <c r="E263" s="9"/>
      <c r="F263" s="9"/>
      <c r="G263" s="9"/>
      <c r="H263" s="9"/>
    </row>
    <row r="264" spans="4:8" x14ac:dyDescent="0.25">
      <c r="D264" s="9"/>
      <c r="E264" s="9"/>
      <c r="F264" s="9"/>
      <c r="G264" s="9"/>
      <c r="H264" s="9"/>
    </row>
    <row r="265" spans="4:8" x14ac:dyDescent="0.25">
      <c r="D265" s="9"/>
      <c r="E265" s="9"/>
      <c r="F265" s="9"/>
      <c r="G265" s="9"/>
      <c r="H265" s="9"/>
    </row>
    <row r="266" spans="4:8" x14ac:dyDescent="0.25">
      <c r="D266" s="9"/>
      <c r="E266" s="9"/>
      <c r="F266" s="9"/>
      <c r="G266" s="9"/>
      <c r="H266" s="9"/>
    </row>
    <row r="267" spans="4:8" x14ac:dyDescent="0.25">
      <c r="D267" s="9"/>
      <c r="E267" s="9"/>
      <c r="F267" s="9"/>
      <c r="G267" s="9"/>
      <c r="H267" s="9"/>
    </row>
    <row r="268" spans="4:8" x14ac:dyDescent="0.25">
      <c r="D268" s="9"/>
      <c r="E268" s="9"/>
      <c r="F268" s="9"/>
      <c r="G268" s="9"/>
      <c r="H268" s="9"/>
    </row>
    <row r="269" spans="4:8" x14ac:dyDescent="0.25">
      <c r="D269" s="9"/>
      <c r="E269" s="9"/>
      <c r="F269" s="9"/>
      <c r="G269" s="9"/>
      <c r="H269" s="9"/>
    </row>
    <row r="270" spans="4:8" x14ac:dyDescent="0.25">
      <c r="D270" s="9"/>
      <c r="E270" s="9"/>
      <c r="F270" s="9"/>
      <c r="G270" s="9"/>
      <c r="H270" s="9"/>
    </row>
    <row r="271" spans="4:8" x14ac:dyDescent="0.25">
      <c r="D271" s="9"/>
      <c r="E271" s="9"/>
      <c r="F271" s="9"/>
      <c r="G271" s="9"/>
      <c r="H271" s="9"/>
    </row>
    <row r="272" spans="4:8" x14ac:dyDescent="0.25">
      <c r="D272" s="9"/>
      <c r="E272" s="9"/>
      <c r="F272" s="9"/>
      <c r="G272" s="9"/>
      <c r="H272" s="9"/>
    </row>
    <row r="273" spans="4:8" x14ac:dyDescent="0.25">
      <c r="D273" s="9"/>
      <c r="E273" s="9"/>
      <c r="F273" s="9"/>
      <c r="G273" s="9"/>
      <c r="H273" s="9"/>
    </row>
    <row r="274" spans="4:8" x14ac:dyDescent="0.25">
      <c r="D274" s="9"/>
      <c r="E274" s="9"/>
      <c r="F274" s="9"/>
      <c r="G274" s="9"/>
      <c r="H274" s="9"/>
    </row>
    <row r="275" spans="4:8" x14ac:dyDescent="0.25">
      <c r="D275" s="9"/>
      <c r="E275" s="9"/>
      <c r="F275" s="9"/>
      <c r="G275" s="9"/>
      <c r="H275" s="9"/>
    </row>
    <row r="276" spans="4:8" x14ac:dyDescent="0.25">
      <c r="D276" s="9"/>
      <c r="E276" s="9"/>
      <c r="F276" s="9"/>
      <c r="G276" s="9"/>
      <c r="H276" s="9"/>
    </row>
    <row r="277" spans="4:8" x14ac:dyDescent="0.25">
      <c r="D277" s="9"/>
      <c r="E277" s="9"/>
      <c r="F277" s="9"/>
      <c r="G277" s="9"/>
      <c r="H277" s="9"/>
    </row>
    <row r="278" spans="4:8" x14ac:dyDescent="0.25">
      <c r="D278" s="9"/>
      <c r="E278" s="9"/>
      <c r="F278" s="9"/>
      <c r="G278" s="9"/>
      <c r="H278" s="9"/>
    </row>
    <row r="279" spans="4:8" x14ac:dyDescent="0.25">
      <c r="D279" s="9"/>
      <c r="E279" s="9"/>
      <c r="F279" s="9"/>
      <c r="G279" s="9"/>
      <c r="H279" s="9"/>
    </row>
    <row r="280" spans="4:8" x14ac:dyDescent="0.25">
      <c r="D280" s="9"/>
      <c r="E280" s="9"/>
      <c r="F280" s="9"/>
      <c r="G280" s="9"/>
      <c r="H280" s="9"/>
    </row>
    <row r="281" spans="4:8" x14ac:dyDescent="0.25">
      <c r="D281" s="9"/>
      <c r="E281" s="9"/>
      <c r="F281" s="9"/>
      <c r="G281" s="9"/>
      <c r="H281" s="9"/>
    </row>
    <row r="282" spans="4:8" x14ac:dyDescent="0.25">
      <c r="D282" s="9"/>
      <c r="E282" s="9"/>
      <c r="F282" s="9"/>
      <c r="G282" s="9"/>
      <c r="H282" s="9"/>
    </row>
    <row r="283" spans="4:8" x14ac:dyDescent="0.25">
      <c r="D283" s="9"/>
      <c r="E283" s="9"/>
      <c r="F283" s="9"/>
      <c r="G283" s="9"/>
      <c r="H283" s="9"/>
    </row>
    <row r="284" spans="4:8" x14ac:dyDescent="0.25">
      <c r="D284" s="9"/>
      <c r="E284" s="9"/>
      <c r="F284" s="9"/>
      <c r="G284" s="9"/>
      <c r="H284" s="9"/>
    </row>
    <row r="285" spans="4:8" x14ac:dyDescent="0.25">
      <c r="D285" s="9"/>
      <c r="E285" s="9"/>
      <c r="F285" s="9"/>
      <c r="G285" s="9"/>
      <c r="H285" s="9"/>
    </row>
    <row r="286" spans="4:8" x14ac:dyDescent="0.25">
      <c r="D286" s="9"/>
      <c r="E286" s="9"/>
      <c r="F286" s="9"/>
      <c r="G286" s="9"/>
      <c r="H286" s="9"/>
    </row>
    <row r="287" spans="4:8" x14ac:dyDescent="0.25">
      <c r="D287" s="9"/>
      <c r="E287" s="9"/>
      <c r="F287" s="9"/>
      <c r="G287" s="9"/>
      <c r="H287" s="9"/>
    </row>
    <row r="288" spans="4:8" x14ac:dyDescent="0.25">
      <c r="D288" s="9"/>
      <c r="E288" s="9"/>
      <c r="F288" s="9"/>
      <c r="G288" s="9"/>
      <c r="H288" s="9"/>
    </row>
    <row r="289" spans="4:8" x14ac:dyDescent="0.25">
      <c r="D289" s="9"/>
      <c r="E289" s="9"/>
      <c r="F289" s="9"/>
      <c r="G289" s="9"/>
      <c r="H289" s="9"/>
    </row>
    <row r="290" spans="4:8" x14ac:dyDescent="0.25">
      <c r="D290" s="9"/>
      <c r="E290" s="9"/>
      <c r="F290" s="9"/>
      <c r="G290" s="9"/>
      <c r="H290" s="9"/>
    </row>
    <row r="291" spans="4:8" x14ac:dyDescent="0.25">
      <c r="D291" s="9"/>
      <c r="E291" s="9"/>
      <c r="F291" s="9"/>
      <c r="G291" s="9"/>
      <c r="H291" s="9"/>
    </row>
    <row r="292" spans="4:8" x14ac:dyDescent="0.25">
      <c r="D292" s="9"/>
      <c r="E292" s="9"/>
      <c r="F292" s="9"/>
      <c r="G292" s="9"/>
      <c r="H292" s="9"/>
    </row>
    <row r="293" spans="4:8" x14ac:dyDescent="0.25">
      <c r="D293" s="9"/>
      <c r="E293" s="9"/>
      <c r="F293" s="9"/>
      <c r="G293" s="9"/>
      <c r="H293" s="9"/>
    </row>
    <row r="294" spans="4:8" x14ac:dyDescent="0.25">
      <c r="D294" s="9"/>
      <c r="E294" s="9"/>
      <c r="F294" s="9"/>
      <c r="G294" s="9"/>
      <c r="H294" s="9"/>
    </row>
    <row r="295" spans="4:8" x14ac:dyDescent="0.25">
      <c r="D295" s="9"/>
      <c r="E295" s="9"/>
      <c r="F295" s="9"/>
      <c r="G295" s="9"/>
      <c r="H295" s="9"/>
    </row>
    <row r="296" spans="4:8" x14ac:dyDescent="0.25">
      <c r="D296" s="9"/>
      <c r="E296" s="9"/>
      <c r="F296" s="9"/>
      <c r="G296" s="9"/>
      <c r="H296" s="9"/>
    </row>
    <row r="297" spans="4:8" x14ac:dyDescent="0.25">
      <c r="D297" s="9"/>
      <c r="E297" s="9"/>
      <c r="F297" s="9"/>
      <c r="G297" s="9"/>
      <c r="H297" s="9"/>
    </row>
    <row r="298" spans="4:8" x14ac:dyDescent="0.25">
      <c r="D298" s="9"/>
      <c r="E298" s="9"/>
      <c r="F298" s="9"/>
      <c r="G298" s="9"/>
      <c r="H298" s="9"/>
    </row>
    <row r="299" spans="4:8" x14ac:dyDescent="0.25">
      <c r="D299" s="9"/>
      <c r="E299" s="9"/>
      <c r="F299" s="9"/>
      <c r="G299" s="9"/>
      <c r="H299" s="9"/>
    </row>
    <row r="300" spans="4:8" x14ac:dyDescent="0.25">
      <c r="D300" s="9"/>
      <c r="E300" s="9"/>
      <c r="F300" s="9"/>
      <c r="G300" s="9"/>
      <c r="H300" s="9"/>
    </row>
    <row r="301" spans="4:8" x14ac:dyDescent="0.25">
      <c r="D301" s="9"/>
      <c r="E301" s="9"/>
      <c r="F301" s="9"/>
      <c r="G301" s="9"/>
      <c r="H301" s="9"/>
    </row>
    <row r="302" spans="4:8" x14ac:dyDescent="0.25">
      <c r="D302" s="9"/>
      <c r="E302" s="9"/>
      <c r="F302" s="9"/>
      <c r="G302" s="9"/>
      <c r="H302" s="9"/>
    </row>
    <row r="303" spans="4:8" x14ac:dyDescent="0.25">
      <c r="D303" s="9"/>
      <c r="E303" s="9"/>
      <c r="F303" s="9"/>
      <c r="G303" s="9"/>
      <c r="H303" s="9"/>
    </row>
    <row r="304" spans="4:8" x14ac:dyDescent="0.25">
      <c r="D304" s="9"/>
      <c r="E304" s="9"/>
      <c r="F304" s="9"/>
      <c r="G304" s="9"/>
      <c r="H304" s="9"/>
    </row>
    <row r="305" spans="4:8" x14ac:dyDescent="0.25">
      <c r="D305" s="9"/>
      <c r="E305" s="9"/>
      <c r="F305" s="9"/>
      <c r="G305" s="9"/>
      <c r="H305" s="9"/>
    </row>
    <row r="306" spans="4:8" x14ac:dyDescent="0.25">
      <c r="D306" s="9"/>
      <c r="E306" s="9"/>
      <c r="F306" s="9"/>
      <c r="G306" s="9"/>
      <c r="H306" s="9"/>
    </row>
    <row r="307" spans="4:8" x14ac:dyDescent="0.25">
      <c r="D307" s="9"/>
      <c r="E307" s="9"/>
      <c r="F307" s="9"/>
      <c r="G307" s="9"/>
      <c r="H307" s="9"/>
    </row>
    <row r="308" spans="4:8" x14ac:dyDescent="0.25">
      <c r="D308" s="9"/>
      <c r="E308" s="9"/>
      <c r="F308" s="9"/>
      <c r="G308" s="9"/>
      <c r="H308" s="9"/>
    </row>
    <row r="309" spans="4:8" x14ac:dyDescent="0.25">
      <c r="D309" s="9"/>
      <c r="E309" s="9"/>
      <c r="F309" s="9"/>
      <c r="G309" s="9"/>
      <c r="H309" s="9"/>
    </row>
    <row r="310" spans="4:8" x14ac:dyDescent="0.25">
      <c r="D310" s="9"/>
      <c r="E310" s="9"/>
      <c r="F310" s="9"/>
      <c r="G310" s="9"/>
      <c r="H310" s="9"/>
    </row>
    <row r="311" spans="4:8" x14ac:dyDescent="0.25">
      <c r="D311" s="9"/>
      <c r="E311" s="9"/>
      <c r="F311" s="9"/>
      <c r="G311" s="9"/>
      <c r="H311" s="9"/>
    </row>
    <row r="312" spans="4:8" x14ac:dyDescent="0.25">
      <c r="D312" s="9"/>
      <c r="E312" s="9"/>
      <c r="F312" s="9"/>
      <c r="G312" s="9"/>
      <c r="H312" s="9"/>
    </row>
    <row r="313" spans="4:8" x14ac:dyDescent="0.25">
      <c r="D313" s="9"/>
      <c r="E313" s="9"/>
      <c r="F313" s="9"/>
      <c r="G313" s="9"/>
      <c r="H313" s="9"/>
    </row>
    <row r="314" spans="4:8" x14ac:dyDescent="0.25">
      <c r="D314" s="9"/>
      <c r="E314" s="9"/>
      <c r="F314" s="9"/>
      <c r="G314" s="9"/>
      <c r="H314" s="9"/>
    </row>
    <row r="315" spans="4:8" x14ac:dyDescent="0.25">
      <c r="D315" s="9"/>
      <c r="E315" s="9"/>
      <c r="F315" s="9"/>
      <c r="G315" s="9"/>
      <c r="H315" s="9"/>
    </row>
    <row r="316" spans="4:8" x14ac:dyDescent="0.25">
      <c r="D316" s="9"/>
      <c r="E316" s="9"/>
      <c r="F316" s="9"/>
      <c r="G316" s="9"/>
      <c r="H316" s="9"/>
    </row>
    <row r="317" spans="4:8" x14ac:dyDescent="0.25">
      <c r="D317" s="9"/>
      <c r="E317" s="9"/>
      <c r="F317" s="9"/>
      <c r="G317" s="9"/>
      <c r="H317" s="9"/>
    </row>
    <row r="318" spans="4:8" x14ac:dyDescent="0.25">
      <c r="D318" s="9"/>
      <c r="E318" s="9"/>
      <c r="F318" s="9"/>
      <c r="G318" s="9"/>
      <c r="H318" s="9"/>
    </row>
    <row r="319" spans="4:8" x14ac:dyDescent="0.25">
      <c r="D319" s="9"/>
      <c r="E319" s="9"/>
      <c r="F319" s="9"/>
      <c r="G319" s="9"/>
      <c r="H319" s="9"/>
    </row>
    <row r="320" spans="4:8" x14ac:dyDescent="0.25">
      <c r="D320" s="9"/>
      <c r="E320" s="9"/>
      <c r="F320" s="9"/>
      <c r="G320" s="9"/>
      <c r="H320" s="9"/>
    </row>
    <row r="321" spans="4:13" x14ac:dyDescent="0.25">
      <c r="D321" s="9"/>
      <c r="E321" s="9"/>
      <c r="F321" s="9"/>
      <c r="G321" s="9"/>
      <c r="H321" s="9"/>
    </row>
    <row r="322" spans="4:13" x14ac:dyDescent="0.25">
      <c r="H322" s="2"/>
    </row>
    <row r="323" spans="4:13" x14ac:dyDescent="0.25">
      <c r="H323" s="2"/>
    </row>
    <row r="324" spans="4:13" x14ac:dyDescent="0.25">
      <c r="H324" s="2"/>
    </row>
    <row r="325" spans="4:13" x14ac:dyDescent="0.25">
      <c r="H325" s="2"/>
    </row>
    <row r="326" spans="4:13" ht="15" customHeight="1" x14ac:dyDescent="0.25">
      <c r="H326" s="2"/>
    </row>
    <row r="327" spans="4:13" ht="15" customHeight="1" x14ac:dyDescent="0.25"/>
    <row r="328" spans="4:13" ht="15" customHeight="1" x14ac:dyDescent="0.25"/>
    <row r="329" spans="4:13" ht="15" customHeight="1" x14ac:dyDescent="0.25"/>
    <row r="332" spans="4:13" x14ac:dyDescent="0.25">
      <c r="M332" s="21" t="s">
        <v>93</v>
      </c>
    </row>
  </sheetData>
  <sortState xmlns:xlrd2="http://schemas.microsoft.com/office/spreadsheetml/2017/richdata2" ref="A9:AB61">
    <sortCondition ref="T9:T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2A02-E1C4-4B49-8F4B-91353404AEDE}">
  <dimension ref="A2:G48"/>
  <sheetViews>
    <sheetView workbookViewId="0">
      <selection activeCell="C2" sqref="C2:C13"/>
    </sheetView>
  </sheetViews>
  <sheetFormatPr defaultRowHeight="15" x14ac:dyDescent="0.25"/>
  <sheetData>
    <row r="2" spans="1:7" x14ac:dyDescent="0.25">
      <c r="A2" s="21">
        <v>0.4298425736</v>
      </c>
      <c r="B2" s="21">
        <v>0.4271047228</v>
      </c>
      <c r="C2" s="21">
        <v>0.42162902120000001</v>
      </c>
      <c r="E2" s="23">
        <f>AVERAGE(A:A)</f>
        <v>0.59558784814615384</v>
      </c>
      <c r="F2" s="23">
        <f>AVERAGE(B:B)</f>
        <v>0.57586128223333333</v>
      </c>
      <c r="G2" s="23">
        <f>AVERAGE(C:C)</f>
        <v>0.52772073922499996</v>
      </c>
    </row>
    <row r="3" spans="1:7" x14ac:dyDescent="0.25">
      <c r="A3" s="21">
        <v>0.43531827519999999</v>
      </c>
      <c r="B3" s="21">
        <v>0.44079397669999998</v>
      </c>
      <c r="C3" s="21">
        <v>0.4271047228</v>
      </c>
    </row>
    <row r="4" spans="1:7" x14ac:dyDescent="0.25">
      <c r="A4" s="21">
        <v>0.41889117040000001</v>
      </c>
      <c r="B4" s="21">
        <v>0.44353182749999998</v>
      </c>
      <c r="C4" s="21">
        <v>0.4298425736</v>
      </c>
    </row>
    <row r="5" spans="1:7" x14ac:dyDescent="0.25">
      <c r="A5" s="21">
        <v>0.44079397669999998</v>
      </c>
      <c r="B5" s="21">
        <v>0.44900752910000002</v>
      </c>
      <c r="C5" s="21">
        <v>0.42436687200000001</v>
      </c>
    </row>
    <row r="6" spans="1:7" x14ac:dyDescent="0.25">
      <c r="A6" s="21">
        <v>0.42162902120000001</v>
      </c>
      <c r="B6" s="21">
        <v>0.45448323070000002</v>
      </c>
      <c r="C6" s="21">
        <v>0.4271047228</v>
      </c>
    </row>
    <row r="7" spans="1:7" x14ac:dyDescent="0.25">
      <c r="A7" s="21">
        <v>0.43805612589999998</v>
      </c>
      <c r="B7" s="21">
        <v>0.41615331960000002</v>
      </c>
      <c r="C7" s="21">
        <v>0.46817248459999999</v>
      </c>
    </row>
    <row r="8" spans="1:7" x14ac:dyDescent="0.25">
      <c r="A8" s="21">
        <v>0.49281314170000001</v>
      </c>
      <c r="B8" s="21">
        <v>0.44900752910000002</v>
      </c>
      <c r="C8" s="21">
        <v>0.47091033539999999</v>
      </c>
    </row>
    <row r="9" spans="1:7" x14ac:dyDescent="0.25">
      <c r="A9" s="21">
        <v>0.67077344279999995</v>
      </c>
      <c r="B9" s="21">
        <v>0.45448323070000002</v>
      </c>
      <c r="C9" s="21">
        <v>0.49007529090000002</v>
      </c>
      <c r="E9" t="s">
        <v>93</v>
      </c>
    </row>
    <row r="10" spans="1:7" x14ac:dyDescent="0.25">
      <c r="A10" s="21">
        <v>0.84599589320000002</v>
      </c>
      <c r="B10" s="21">
        <v>0.4325804244</v>
      </c>
      <c r="C10" s="21">
        <v>0.70362765230000002</v>
      </c>
    </row>
    <row r="11" spans="1:7" x14ac:dyDescent="0.25">
      <c r="A11" s="21">
        <v>0.86516084869999998</v>
      </c>
      <c r="B11" s="21">
        <v>0.67624914439999995</v>
      </c>
      <c r="C11" s="21">
        <v>0.67898699520000005</v>
      </c>
    </row>
    <row r="12" spans="1:7" x14ac:dyDescent="0.25">
      <c r="A12" s="21">
        <v>0.88706365499999995</v>
      </c>
      <c r="B12" s="21">
        <v>0.83778234090000003</v>
      </c>
      <c r="C12" s="21">
        <v>0.68720054760000004</v>
      </c>
    </row>
    <row r="13" spans="1:7" x14ac:dyDescent="0.25">
      <c r="A13" s="21">
        <v>0.68446269680000005</v>
      </c>
      <c r="B13" s="21">
        <v>0.8596851472</v>
      </c>
      <c r="C13" s="21">
        <v>0.70362765230000002</v>
      </c>
    </row>
    <row r="14" spans="1:7" x14ac:dyDescent="0.25">
      <c r="A14" s="21">
        <v>0.71184120470000001</v>
      </c>
      <c r="B14" s="21">
        <v>0.7145790554</v>
      </c>
      <c r="C14" s="21"/>
    </row>
    <row r="15" spans="1:7" x14ac:dyDescent="0.25">
      <c r="A15" s="21"/>
      <c r="B15" s="21">
        <v>0.72553045859999998</v>
      </c>
      <c r="C15" s="21"/>
    </row>
    <row r="16" spans="1:7" x14ac:dyDescent="0.25">
      <c r="A16" s="21"/>
      <c r="B16" s="21">
        <v>0.8569472964</v>
      </c>
      <c r="C16" s="21"/>
    </row>
    <row r="17" spans="1:6" x14ac:dyDescent="0.25">
      <c r="A17" s="21"/>
      <c r="B17" s="21"/>
      <c r="C17" s="21"/>
    </row>
    <row r="18" spans="1:6" x14ac:dyDescent="0.25">
      <c r="A18" s="21"/>
      <c r="B18" s="21"/>
      <c r="C18" s="21"/>
      <c r="F18" t="s">
        <v>93</v>
      </c>
    </row>
    <row r="19" spans="1:6" x14ac:dyDescent="0.25">
      <c r="A19" s="21"/>
      <c r="B19" s="21"/>
      <c r="C19" s="21"/>
    </row>
    <row r="20" spans="1:6" x14ac:dyDescent="0.25">
      <c r="A20" s="21"/>
      <c r="B20" s="21"/>
      <c r="C20" s="21"/>
    </row>
    <row r="21" spans="1:6" x14ac:dyDescent="0.25">
      <c r="A21" s="21"/>
      <c r="B21" s="21"/>
      <c r="C21" s="21"/>
    </row>
    <row r="22" spans="1:6" x14ac:dyDescent="0.25">
      <c r="A22" s="21"/>
      <c r="B22" s="21"/>
      <c r="C22" s="21"/>
    </row>
    <row r="23" spans="1:6" x14ac:dyDescent="0.25">
      <c r="A23" s="21"/>
      <c r="B23" s="21"/>
      <c r="C23" s="21"/>
    </row>
    <row r="24" spans="1:6" x14ac:dyDescent="0.25">
      <c r="A24" s="21"/>
      <c r="B24" s="21"/>
      <c r="C24" s="21"/>
    </row>
    <row r="25" spans="1:6" x14ac:dyDescent="0.25">
      <c r="A25" s="21"/>
      <c r="B25" s="21"/>
      <c r="C25" s="21"/>
    </row>
    <row r="26" spans="1:6" x14ac:dyDescent="0.25">
      <c r="A26" s="21"/>
      <c r="B26" s="21"/>
      <c r="C26" s="21"/>
    </row>
    <row r="27" spans="1:6" x14ac:dyDescent="0.25">
      <c r="A27" s="21"/>
      <c r="B27" s="21"/>
      <c r="C27" s="21"/>
    </row>
    <row r="28" spans="1:6" x14ac:dyDescent="0.25">
      <c r="A28" s="21"/>
      <c r="B28" s="21"/>
      <c r="C28" s="21"/>
    </row>
    <row r="29" spans="1:6" x14ac:dyDescent="0.25">
      <c r="A29" s="21"/>
      <c r="B29" s="21"/>
    </row>
    <row r="30" spans="1:6" x14ac:dyDescent="0.25">
      <c r="A30" s="21"/>
      <c r="B30" s="21"/>
    </row>
    <row r="31" spans="1:6" x14ac:dyDescent="0.25">
      <c r="A31" s="21"/>
      <c r="B31" s="21"/>
    </row>
    <row r="32" spans="1:6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B42" s="21"/>
    </row>
    <row r="43" spans="1:2" x14ac:dyDescent="0.25">
      <c r="B43" s="21"/>
    </row>
    <row r="44" spans="1:2" x14ac:dyDescent="0.25">
      <c r="B44" s="21"/>
    </row>
    <row r="45" spans="1:2" x14ac:dyDescent="0.25">
      <c r="B45" s="21"/>
    </row>
    <row r="46" spans="1:2" x14ac:dyDescent="0.25">
      <c r="B46" s="21"/>
    </row>
    <row r="47" spans="1:2" x14ac:dyDescent="0.25">
      <c r="B47" s="21"/>
    </row>
    <row r="48" spans="1:2" x14ac:dyDescent="0.25">
      <c r="B48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0293-49AC-4D4D-A39D-24087ECDAA38}">
  <dimension ref="A1:P156"/>
  <sheetViews>
    <sheetView zoomScale="115" zoomScaleNormal="115" workbookViewId="0">
      <selection activeCell="R19" sqref="R19"/>
    </sheetView>
  </sheetViews>
  <sheetFormatPr defaultRowHeight="15" x14ac:dyDescent="0.25"/>
  <cols>
    <col min="1" max="1" width="14.28515625" customWidth="1"/>
    <col min="2" max="2" width="11.7109375" customWidth="1"/>
    <col min="3" max="3" width="12" customWidth="1"/>
    <col min="4" max="4" width="10.140625" hidden="1" customWidth="1"/>
    <col min="5" max="10" width="0" hidden="1" customWidth="1"/>
    <col min="11" max="11" width="12.85546875" hidden="1" customWidth="1"/>
    <col min="12" max="12" width="10.5703125" hidden="1" customWidth="1"/>
    <col min="13" max="13" width="8.85546875" customWidth="1"/>
    <col min="14" max="14" width="10.28515625" customWidth="1"/>
    <col min="15" max="15" width="21.140625" customWidth="1"/>
    <col min="16" max="16" width="16.5703125" customWidth="1"/>
  </cols>
  <sheetData>
    <row r="1" spans="1:16" ht="38.25" x14ac:dyDescent="0.25">
      <c r="A1" s="16" t="s">
        <v>100</v>
      </c>
      <c r="B1" s="16" t="s">
        <v>101</v>
      </c>
      <c r="C1" s="17" t="s">
        <v>102</v>
      </c>
      <c r="D1" s="17" t="s">
        <v>103</v>
      </c>
      <c r="E1" s="18" t="s">
        <v>104</v>
      </c>
      <c r="F1" s="18" t="s">
        <v>105</v>
      </c>
      <c r="G1" s="12" t="s">
        <v>106</v>
      </c>
      <c r="H1" s="12" t="s">
        <v>105</v>
      </c>
      <c r="I1" s="12" t="s">
        <v>107</v>
      </c>
      <c r="J1" s="12" t="s">
        <v>108</v>
      </c>
      <c r="K1" s="12" t="s">
        <v>109</v>
      </c>
      <c r="L1" s="12" t="s">
        <v>110</v>
      </c>
      <c r="M1" s="12" t="s">
        <v>163</v>
      </c>
      <c r="N1" s="12" t="s">
        <v>141</v>
      </c>
      <c r="O1" s="12" t="s">
        <v>142</v>
      </c>
      <c r="P1" s="12" t="s">
        <v>87</v>
      </c>
    </row>
    <row r="2" spans="1:16" x14ac:dyDescent="0.25">
      <c r="A2" s="2" t="s">
        <v>0</v>
      </c>
      <c r="B2" s="2" t="s">
        <v>111</v>
      </c>
      <c r="C2" s="13">
        <v>35</v>
      </c>
      <c r="D2" s="14">
        <v>1</v>
      </c>
      <c r="E2" s="15">
        <v>611.75539460000005</v>
      </c>
      <c r="F2" s="15"/>
      <c r="G2" s="15">
        <v>58.565966549999999</v>
      </c>
      <c r="H2" s="15"/>
      <c r="I2" s="15">
        <v>23.686456639999999</v>
      </c>
      <c r="J2" s="15">
        <v>22.87884979</v>
      </c>
      <c r="K2" s="15">
        <v>21.084185399999999</v>
      </c>
      <c r="L2" s="15">
        <v>25.473078749999999</v>
      </c>
      <c r="M2" s="15" t="s">
        <v>165</v>
      </c>
      <c r="N2" t="s">
        <v>154</v>
      </c>
      <c r="O2" t="s">
        <v>149</v>
      </c>
      <c r="P2" t="s">
        <v>143</v>
      </c>
    </row>
    <row r="3" spans="1:16" x14ac:dyDescent="0.25">
      <c r="A3" s="2" t="s">
        <v>1</v>
      </c>
      <c r="B3" s="2" t="s">
        <v>112</v>
      </c>
      <c r="C3" s="13">
        <v>47</v>
      </c>
      <c r="D3" s="14">
        <v>3</v>
      </c>
      <c r="E3" s="15">
        <v>122.591599</v>
      </c>
      <c r="F3" s="15"/>
      <c r="G3" s="15">
        <v>67.919045499999996</v>
      </c>
      <c r="H3" s="15"/>
      <c r="I3" s="15">
        <v>51.786260400000003</v>
      </c>
      <c r="J3" s="15">
        <v>25.144946390000001</v>
      </c>
      <c r="K3" s="15">
        <v>25.981623039999999</v>
      </c>
      <c r="L3" s="15">
        <v>1488.3152950000001</v>
      </c>
      <c r="M3" s="15" t="s">
        <v>164</v>
      </c>
      <c r="N3" t="s">
        <v>154</v>
      </c>
      <c r="O3" t="s">
        <v>181</v>
      </c>
      <c r="P3" t="s">
        <v>143</v>
      </c>
    </row>
    <row r="4" spans="1:16" x14ac:dyDescent="0.25">
      <c r="A4" s="2" t="s">
        <v>2</v>
      </c>
      <c r="B4" s="2" t="s">
        <v>113</v>
      </c>
      <c r="C4" s="13">
        <v>40</v>
      </c>
      <c r="D4" s="14">
        <v>5</v>
      </c>
      <c r="E4" s="15">
        <v>783.41033789999994</v>
      </c>
      <c r="F4" s="15"/>
      <c r="G4" s="15">
        <v>146.94522620000001</v>
      </c>
      <c r="H4" s="15"/>
      <c r="I4" s="15">
        <v>49.967853599999998</v>
      </c>
      <c r="J4" s="15">
        <v>92.951706610000002</v>
      </c>
      <c r="K4" s="15">
        <v>68.193224920000006</v>
      </c>
      <c r="L4" s="15">
        <v>2886.2384269999998</v>
      </c>
      <c r="M4" s="15" t="s">
        <v>164</v>
      </c>
      <c r="N4" t="s">
        <v>153</v>
      </c>
      <c r="O4" t="s">
        <v>181</v>
      </c>
      <c r="P4" t="s">
        <v>143</v>
      </c>
    </row>
    <row r="5" spans="1:16" x14ac:dyDescent="0.25">
      <c r="A5" s="2" t="s">
        <v>3</v>
      </c>
      <c r="B5" s="2" t="s">
        <v>114</v>
      </c>
      <c r="C5" s="13">
        <v>33</v>
      </c>
      <c r="D5" s="14">
        <v>7</v>
      </c>
      <c r="E5" s="15">
        <v>5</v>
      </c>
      <c r="F5" s="15"/>
      <c r="G5" s="15">
        <v>5</v>
      </c>
      <c r="H5" s="15"/>
      <c r="I5" s="15">
        <v>5</v>
      </c>
      <c r="J5" s="15">
        <v>5</v>
      </c>
      <c r="K5" s="15">
        <v>5</v>
      </c>
      <c r="L5" s="15">
        <v>47.93714671</v>
      </c>
      <c r="M5" s="15" t="s">
        <v>164</v>
      </c>
      <c r="N5" t="s">
        <v>154</v>
      </c>
      <c r="O5" t="s">
        <v>181</v>
      </c>
      <c r="P5" t="s">
        <v>143</v>
      </c>
    </row>
    <row r="6" spans="1:16" x14ac:dyDescent="0.25">
      <c r="A6" s="2" t="s">
        <v>4</v>
      </c>
      <c r="B6" s="2" t="s">
        <v>115</v>
      </c>
      <c r="C6" s="13">
        <v>44</v>
      </c>
      <c r="D6" s="14">
        <v>9</v>
      </c>
      <c r="E6" s="15">
        <v>265.4735733</v>
      </c>
      <c r="F6" s="15"/>
      <c r="G6" s="15">
        <v>223.5511568</v>
      </c>
      <c r="H6" s="15"/>
      <c r="I6" s="15">
        <v>69.546672180000002</v>
      </c>
      <c r="J6" s="15">
        <v>80.311918809999995</v>
      </c>
      <c r="K6" s="15">
        <v>37.799244659999999</v>
      </c>
      <c r="L6" s="15">
        <v>210.64809109999999</v>
      </c>
      <c r="M6" s="15" t="s">
        <v>165</v>
      </c>
      <c r="N6" t="s">
        <v>154</v>
      </c>
      <c r="O6" t="s">
        <v>149</v>
      </c>
      <c r="P6" t="s">
        <v>143</v>
      </c>
    </row>
    <row r="7" spans="1:16" x14ac:dyDescent="0.25">
      <c r="A7" s="2" t="s">
        <v>5</v>
      </c>
      <c r="B7" s="2" t="s">
        <v>116</v>
      </c>
      <c r="C7" s="13">
        <v>23</v>
      </c>
      <c r="D7" s="14">
        <v>11</v>
      </c>
      <c r="E7" s="15">
        <v>5</v>
      </c>
      <c r="F7" s="15"/>
      <c r="G7" s="15">
        <v>5</v>
      </c>
      <c r="H7" s="15"/>
      <c r="I7" s="15">
        <v>5</v>
      </c>
      <c r="J7" s="15">
        <v>5</v>
      </c>
      <c r="K7" s="15">
        <v>5</v>
      </c>
      <c r="L7" s="15">
        <v>15.571100080000001</v>
      </c>
      <c r="M7" s="15" t="s">
        <v>164</v>
      </c>
      <c r="N7" t="s">
        <v>182</v>
      </c>
      <c r="O7" t="s">
        <v>181</v>
      </c>
      <c r="P7" t="s">
        <v>143</v>
      </c>
    </row>
    <row r="8" spans="1:16" x14ac:dyDescent="0.25">
      <c r="A8" s="2" t="s">
        <v>6</v>
      </c>
      <c r="B8" s="2" t="s">
        <v>117</v>
      </c>
      <c r="C8" s="13">
        <v>32</v>
      </c>
      <c r="D8" s="14">
        <v>13</v>
      </c>
      <c r="E8" s="15">
        <v>153.98543480000001</v>
      </c>
      <c r="F8" s="15"/>
      <c r="G8" s="15">
        <v>24.851825380000001</v>
      </c>
      <c r="H8" s="15"/>
      <c r="I8" s="15">
        <v>18.221020209999999</v>
      </c>
      <c r="J8" s="15">
        <v>24.96877971</v>
      </c>
      <c r="K8" s="15">
        <v>25.506702579999999</v>
      </c>
      <c r="L8" s="15">
        <v>326.353634</v>
      </c>
      <c r="M8" s="15" t="s">
        <v>164</v>
      </c>
      <c r="N8" t="s">
        <v>154</v>
      </c>
      <c r="O8" t="s">
        <v>181</v>
      </c>
      <c r="P8" t="s">
        <v>143</v>
      </c>
    </row>
    <row r="9" spans="1:16" x14ac:dyDescent="0.25">
      <c r="A9" s="2" t="s">
        <v>7</v>
      </c>
      <c r="B9" s="2" t="s">
        <v>116</v>
      </c>
      <c r="C9" s="13">
        <v>24</v>
      </c>
      <c r="D9" s="14">
        <v>15</v>
      </c>
      <c r="E9" s="15">
        <v>909.04046919999996</v>
      </c>
      <c r="F9" s="15"/>
      <c r="G9" s="15">
        <v>285.35338519999999</v>
      </c>
      <c r="H9" s="15"/>
      <c r="I9" s="15">
        <v>169.06701229999999</v>
      </c>
      <c r="J9" s="15">
        <v>178.87298250000001</v>
      </c>
      <c r="K9" s="15">
        <v>78.944165780000006</v>
      </c>
      <c r="L9" s="15">
        <v>134.4496642</v>
      </c>
      <c r="M9" s="15" t="s">
        <v>165</v>
      </c>
      <c r="N9" t="s">
        <v>154</v>
      </c>
      <c r="O9" t="s">
        <v>149</v>
      </c>
      <c r="P9" t="s">
        <v>143</v>
      </c>
    </row>
    <row r="10" spans="1:16" x14ac:dyDescent="0.25">
      <c r="A10" s="2" t="s">
        <v>8</v>
      </c>
      <c r="B10" s="2" t="s">
        <v>118</v>
      </c>
      <c r="C10" s="13">
        <v>35</v>
      </c>
      <c r="D10" s="14">
        <v>17</v>
      </c>
      <c r="E10" s="15">
        <v>5</v>
      </c>
      <c r="F10" s="15"/>
      <c r="G10" s="15">
        <v>5</v>
      </c>
      <c r="H10" s="15"/>
      <c r="I10" s="15">
        <v>5</v>
      </c>
      <c r="J10" s="15">
        <v>5</v>
      </c>
      <c r="K10" s="15">
        <v>5</v>
      </c>
      <c r="L10" s="15">
        <v>5</v>
      </c>
      <c r="M10" s="15" t="s">
        <v>165</v>
      </c>
      <c r="N10" t="s">
        <v>154</v>
      </c>
      <c r="O10" t="s">
        <v>181</v>
      </c>
      <c r="P10" t="s">
        <v>143</v>
      </c>
    </row>
    <row r="11" spans="1:16" x14ac:dyDescent="0.25">
      <c r="A11" s="2" t="s">
        <v>9</v>
      </c>
      <c r="B11" s="2" t="s">
        <v>119</v>
      </c>
      <c r="C11" s="13">
        <v>37</v>
      </c>
      <c r="D11" s="14">
        <v>19</v>
      </c>
      <c r="E11" s="15">
        <v>664.59372210000004</v>
      </c>
      <c r="F11" s="15"/>
      <c r="G11" s="15">
        <v>282.56429029999998</v>
      </c>
      <c r="H11" s="15"/>
      <c r="I11" s="15">
        <v>74.104988270000007</v>
      </c>
      <c r="J11" s="15">
        <v>61.939861759999999</v>
      </c>
      <c r="K11" s="15">
        <v>40.282278920000003</v>
      </c>
      <c r="L11" s="15">
        <v>1449.0083509999999</v>
      </c>
      <c r="M11" s="15" t="s">
        <v>165</v>
      </c>
      <c r="N11" t="s">
        <v>183</v>
      </c>
      <c r="O11" t="s">
        <v>149</v>
      </c>
      <c r="P11" t="s">
        <v>143</v>
      </c>
    </row>
    <row r="12" spans="1:16" x14ac:dyDescent="0.25">
      <c r="A12" s="2" t="s">
        <v>10</v>
      </c>
      <c r="B12" s="2" t="s">
        <v>120</v>
      </c>
      <c r="C12" s="13">
        <v>45</v>
      </c>
      <c r="D12" s="14">
        <v>21</v>
      </c>
      <c r="E12" s="15">
        <v>212.03870660000001</v>
      </c>
      <c r="F12" s="15"/>
      <c r="G12" s="15">
        <v>164.50997860000001</v>
      </c>
      <c r="H12" s="15"/>
      <c r="I12" s="15">
        <v>79.019928399999998</v>
      </c>
      <c r="J12" s="15">
        <v>54.051023520000001</v>
      </c>
      <c r="K12" s="15">
        <v>5</v>
      </c>
      <c r="L12" s="15">
        <v>31.520437990000001</v>
      </c>
      <c r="M12" s="15" t="s">
        <v>164</v>
      </c>
      <c r="N12" t="s">
        <v>182</v>
      </c>
      <c r="O12" t="s">
        <v>181</v>
      </c>
      <c r="P12" t="s">
        <v>143</v>
      </c>
    </row>
    <row r="13" spans="1:16" x14ac:dyDescent="0.25">
      <c r="A13" s="2" t="s">
        <v>11</v>
      </c>
      <c r="B13" s="2" t="s">
        <v>120</v>
      </c>
      <c r="C13" s="13">
        <v>46</v>
      </c>
      <c r="D13" s="14">
        <v>23</v>
      </c>
      <c r="E13" s="15">
        <v>264.28116770000003</v>
      </c>
      <c r="F13" s="15"/>
      <c r="G13" s="15">
        <v>97.602828149999993</v>
      </c>
      <c r="H13" s="15"/>
      <c r="I13" s="15">
        <v>84.068093719999993</v>
      </c>
      <c r="J13" s="15">
        <v>73.472146820000006</v>
      </c>
      <c r="K13" s="15">
        <v>14.652713459999999</v>
      </c>
      <c r="L13" s="15">
        <v>305.16438790000001</v>
      </c>
      <c r="M13" s="15" t="s">
        <v>165</v>
      </c>
      <c r="N13" t="s">
        <v>153</v>
      </c>
      <c r="O13" t="s">
        <v>181</v>
      </c>
      <c r="P13" t="s">
        <v>143</v>
      </c>
    </row>
    <row r="14" spans="1:16" x14ac:dyDescent="0.25">
      <c r="A14" s="2" t="s">
        <v>12</v>
      </c>
      <c r="B14" s="2" t="s">
        <v>121</v>
      </c>
      <c r="C14" s="13">
        <v>29</v>
      </c>
      <c r="D14" s="14">
        <v>25</v>
      </c>
      <c r="E14" s="15">
        <v>5</v>
      </c>
      <c r="F14" s="15"/>
      <c r="G14" s="15">
        <v>5</v>
      </c>
      <c r="H14" s="15"/>
      <c r="I14" s="15">
        <v>5</v>
      </c>
      <c r="J14" s="15">
        <v>5</v>
      </c>
      <c r="K14" s="15">
        <v>5</v>
      </c>
      <c r="L14" s="15">
        <v>16.021292219999999</v>
      </c>
      <c r="M14" s="15" t="s">
        <v>164</v>
      </c>
      <c r="N14" t="s">
        <v>182</v>
      </c>
      <c r="O14" t="s">
        <v>181</v>
      </c>
      <c r="P14" t="s">
        <v>143</v>
      </c>
    </row>
    <row r="15" spans="1:16" x14ac:dyDescent="0.25">
      <c r="A15" s="2" t="s">
        <v>13</v>
      </c>
      <c r="B15" s="2" t="s">
        <v>122</v>
      </c>
      <c r="C15" s="13">
        <v>48</v>
      </c>
      <c r="D15" s="14">
        <v>27</v>
      </c>
      <c r="E15" s="15">
        <v>30.348705169999999</v>
      </c>
      <c r="F15" s="15"/>
      <c r="G15" s="15">
        <v>5</v>
      </c>
      <c r="H15" s="15"/>
      <c r="I15" s="15">
        <v>13.51593901</v>
      </c>
      <c r="J15" s="15">
        <v>5</v>
      </c>
      <c r="K15" s="15">
        <v>5</v>
      </c>
      <c r="L15" s="15">
        <v>158.33971120000001</v>
      </c>
      <c r="M15" s="15" t="s">
        <v>165</v>
      </c>
      <c r="N15" t="s">
        <v>154</v>
      </c>
      <c r="O15" t="s">
        <v>149</v>
      </c>
      <c r="P15" t="s">
        <v>143</v>
      </c>
    </row>
    <row r="16" spans="1:16" x14ac:dyDescent="0.25">
      <c r="A16" s="2" t="s">
        <v>14</v>
      </c>
      <c r="B16" s="2" t="s">
        <v>123</v>
      </c>
      <c r="C16" s="13">
        <v>42</v>
      </c>
      <c r="D16" s="14">
        <v>29</v>
      </c>
      <c r="E16" s="15">
        <v>5</v>
      </c>
      <c r="F16" s="15"/>
      <c r="G16" s="15">
        <v>5</v>
      </c>
      <c r="H16" s="15"/>
      <c r="I16" s="15">
        <v>5</v>
      </c>
      <c r="J16" s="15">
        <v>5</v>
      </c>
      <c r="K16" s="15">
        <v>5</v>
      </c>
      <c r="L16" s="15">
        <v>5</v>
      </c>
      <c r="M16" s="15" t="s">
        <v>164</v>
      </c>
      <c r="N16" t="s">
        <v>153</v>
      </c>
      <c r="O16" t="s">
        <v>181</v>
      </c>
      <c r="P16" t="s">
        <v>143</v>
      </c>
    </row>
    <row r="17" spans="1:16" x14ac:dyDescent="0.25">
      <c r="A17" s="2" t="s">
        <v>15</v>
      </c>
      <c r="B17" s="2" t="s">
        <v>124</v>
      </c>
      <c r="C17" s="13">
        <v>21</v>
      </c>
      <c r="D17" s="14">
        <v>31</v>
      </c>
      <c r="E17" s="15">
        <v>214.50160550000001</v>
      </c>
      <c r="F17" s="15"/>
      <c r="G17" s="15">
        <v>47.087074350000002</v>
      </c>
      <c r="H17" s="15"/>
      <c r="I17" s="15">
        <v>25.763194429999999</v>
      </c>
      <c r="J17" s="15">
        <v>24.10070868</v>
      </c>
      <c r="K17" s="15">
        <v>39.167352749999999</v>
      </c>
      <c r="L17" s="15">
        <v>117.4767078</v>
      </c>
      <c r="M17" s="15" t="s">
        <v>164</v>
      </c>
      <c r="N17" t="s">
        <v>154</v>
      </c>
      <c r="O17" t="s">
        <v>149</v>
      </c>
      <c r="P17" t="s">
        <v>143</v>
      </c>
    </row>
    <row r="18" spans="1:16" x14ac:dyDescent="0.25">
      <c r="A18" s="2" t="s">
        <v>16</v>
      </c>
      <c r="B18" s="2" t="s">
        <v>123</v>
      </c>
      <c r="C18" s="13">
        <v>41</v>
      </c>
      <c r="D18" s="14">
        <v>33</v>
      </c>
      <c r="E18" s="15">
        <v>763.3407277</v>
      </c>
      <c r="F18" s="15"/>
      <c r="G18" s="15">
        <v>697.01598839999997</v>
      </c>
      <c r="H18" s="15"/>
      <c r="I18" s="15">
        <v>634.23011180000003</v>
      </c>
      <c r="J18" s="15">
        <v>402.9896243</v>
      </c>
      <c r="K18" s="15">
        <v>159.06996459999999</v>
      </c>
      <c r="L18" s="15">
        <v>61.211403449999999</v>
      </c>
      <c r="M18" s="15" t="s">
        <v>165</v>
      </c>
      <c r="N18" t="s">
        <v>153</v>
      </c>
      <c r="O18" t="s">
        <v>181</v>
      </c>
      <c r="P18" t="s">
        <v>143</v>
      </c>
    </row>
    <row r="19" spans="1:16" x14ac:dyDescent="0.25">
      <c r="A19" s="2" t="s">
        <v>17</v>
      </c>
      <c r="B19" s="2" t="s">
        <v>125</v>
      </c>
      <c r="C19" s="13">
        <v>29</v>
      </c>
      <c r="D19" s="14">
        <v>35</v>
      </c>
      <c r="E19" s="15">
        <v>5</v>
      </c>
      <c r="F19" s="15"/>
      <c r="G19" s="15">
        <v>5</v>
      </c>
      <c r="H19" s="15"/>
      <c r="I19" s="15">
        <v>5</v>
      </c>
      <c r="J19" s="15">
        <v>5</v>
      </c>
      <c r="K19" s="15">
        <v>5</v>
      </c>
      <c r="L19" s="15">
        <v>91.786917160000002</v>
      </c>
      <c r="M19" s="15" t="s">
        <v>164</v>
      </c>
      <c r="N19" t="s">
        <v>153</v>
      </c>
      <c r="O19" t="s">
        <v>181</v>
      </c>
      <c r="P19" t="s">
        <v>143</v>
      </c>
    </row>
    <row r="20" spans="1:16" x14ac:dyDescent="0.25">
      <c r="A20" s="2" t="s">
        <v>18</v>
      </c>
      <c r="B20" s="2" t="s">
        <v>126</v>
      </c>
      <c r="C20" s="13">
        <v>31</v>
      </c>
      <c r="D20" s="14">
        <v>37</v>
      </c>
      <c r="E20" s="15">
        <v>15.87082872</v>
      </c>
      <c r="F20" s="15"/>
      <c r="G20" s="15">
        <v>5</v>
      </c>
      <c r="H20" s="15"/>
      <c r="I20" s="15">
        <v>5</v>
      </c>
      <c r="J20" s="15">
        <v>5</v>
      </c>
      <c r="K20" s="15">
        <v>5</v>
      </c>
      <c r="L20" s="15">
        <v>19.456631529999999</v>
      </c>
      <c r="M20" s="15" t="s">
        <v>165</v>
      </c>
      <c r="N20" t="s">
        <v>154</v>
      </c>
      <c r="O20" t="s">
        <v>149</v>
      </c>
      <c r="P20" t="s">
        <v>143</v>
      </c>
    </row>
    <row r="21" spans="1:16" x14ac:dyDescent="0.25">
      <c r="A21" s="2" t="s">
        <v>19</v>
      </c>
      <c r="B21" s="2" t="s">
        <v>120</v>
      </c>
      <c r="C21" s="13">
        <v>45</v>
      </c>
      <c r="D21" s="14">
        <v>39</v>
      </c>
      <c r="E21" s="15">
        <v>280.8806525</v>
      </c>
      <c r="F21" s="15"/>
      <c r="G21" s="15">
        <v>312.78980610000002</v>
      </c>
      <c r="H21" s="15"/>
      <c r="I21" s="15">
        <v>179.76176659999999</v>
      </c>
      <c r="J21" s="15">
        <v>149.4879</v>
      </c>
      <c r="K21" s="15">
        <v>23.40160577</v>
      </c>
      <c r="L21" s="15">
        <v>38.869562129999998</v>
      </c>
      <c r="M21" s="15" t="s">
        <v>164</v>
      </c>
      <c r="N21" t="s">
        <v>154</v>
      </c>
      <c r="O21" t="s">
        <v>149</v>
      </c>
      <c r="P21" t="s">
        <v>143</v>
      </c>
    </row>
    <row r="22" spans="1:16" x14ac:dyDescent="0.25">
      <c r="A22" s="2" t="s">
        <v>20</v>
      </c>
      <c r="B22" s="2" t="s">
        <v>120</v>
      </c>
      <c r="C22" s="13">
        <v>45</v>
      </c>
      <c r="D22" s="14">
        <v>41</v>
      </c>
      <c r="E22" s="15">
        <v>857.29385439999999</v>
      </c>
      <c r="F22" s="15"/>
      <c r="G22" s="15">
        <v>498.58475479999998</v>
      </c>
      <c r="H22" s="15"/>
      <c r="I22" s="15">
        <v>284.20742360000003</v>
      </c>
      <c r="J22" s="15">
        <v>306.94208780000002</v>
      </c>
      <c r="K22" s="15">
        <v>63.259007189999998</v>
      </c>
      <c r="L22" s="15">
        <v>947.62373100000002</v>
      </c>
      <c r="M22" s="15" t="s">
        <v>165</v>
      </c>
      <c r="N22" t="s">
        <v>153</v>
      </c>
      <c r="O22" t="s">
        <v>181</v>
      </c>
      <c r="P22" t="s">
        <v>143</v>
      </c>
    </row>
    <row r="23" spans="1:16" x14ac:dyDescent="0.25">
      <c r="A23" s="2" t="s">
        <v>21</v>
      </c>
      <c r="B23" s="2" t="s">
        <v>127</v>
      </c>
      <c r="C23" s="13">
        <v>19</v>
      </c>
      <c r="D23" s="14">
        <v>43</v>
      </c>
      <c r="E23" s="15">
        <v>91.017382409999996</v>
      </c>
      <c r="F23" s="15"/>
      <c r="G23" s="15">
        <v>51.800242470000001</v>
      </c>
      <c r="H23" s="15"/>
      <c r="I23" s="15">
        <v>19.81033343</v>
      </c>
      <c r="J23" s="15">
        <v>22.001316299999999</v>
      </c>
      <c r="K23" s="15">
        <v>26.808545429999999</v>
      </c>
      <c r="L23" s="15">
        <v>19.463533980000001</v>
      </c>
      <c r="M23" s="15" t="s">
        <v>164</v>
      </c>
      <c r="N23" t="s">
        <v>153</v>
      </c>
      <c r="O23" t="s">
        <v>181</v>
      </c>
      <c r="P23" t="s">
        <v>143</v>
      </c>
    </row>
    <row r="24" spans="1:16" x14ac:dyDescent="0.25">
      <c r="A24" s="2" t="s">
        <v>22</v>
      </c>
      <c r="B24" s="2" t="s">
        <v>128</v>
      </c>
      <c r="C24" s="13">
        <v>19</v>
      </c>
      <c r="D24" s="14">
        <v>47</v>
      </c>
      <c r="E24" s="15">
        <v>447.35312219999997</v>
      </c>
      <c r="F24" s="15"/>
      <c r="G24" s="15">
        <v>184.6244293</v>
      </c>
      <c r="H24" s="15"/>
      <c r="I24" s="15">
        <v>96.2386664</v>
      </c>
      <c r="J24" s="15">
        <v>26.0358354</v>
      </c>
      <c r="K24" s="15">
        <v>36.314560350000001</v>
      </c>
      <c r="L24" s="15">
        <v>1164.1637740000001</v>
      </c>
      <c r="M24" s="15" t="s">
        <v>164</v>
      </c>
      <c r="N24" t="s">
        <v>153</v>
      </c>
      <c r="O24" t="s">
        <v>181</v>
      </c>
      <c r="P24" t="s">
        <v>143</v>
      </c>
    </row>
    <row r="25" spans="1:16" x14ac:dyDescent="0.25">
      <c r="A25" s="2" t="s">
        <v>23</v>
      </c>
      <c r="B25" s="2" t="s">
        <v>129</v>
      </c>
      <c r="C25" s="13">
        <v>27</v>
      </c>
      <c r="D25" s="14">
        <v>49</v>
      </c>
      <c r="E25" s="15">
        <v>95.069941290000003</v>
      </c>
      <c r="F25" s="15"/>
      <c r="G25" s="15">
        <v>45.711791470000001</v>
      </c>
      <c r="H25" s="15"/>
      <c r="I25" s="15">
        <v>22.348354260000001</v>
      </c>
      <c r="J25" s="15">
        <v>24.59875903</v>
      </c>
      <c r="K25" s="15">
        <v>16.133040250000001</v>
      </c>
      <c r="L25" s="15">
        <v>21.67790909</v>
      </c>
      <c r="M25" s="15" t="s">
        <v>164</v>
      </c>
      <c r="N25" t="s">
        <v>182</v>
      </c>
      <c r="O25" t="s">
        <v>181</v>
      </c>
      <c r="P25" t="s">
        <v>143</v>
      </c>
    </row>
    <row r="26" spans="1:16" x14ac:dyDescent="0.25">
      <c r="A26" s="2" t="s">
        <v>24</v>
      </c>
      <c r="B26" s="2" t="s">
        <v>130</v>
      </c>
      <c r="C26" s="13">
        <v>22</v>
      </c>
      <c r="D26" s="14">
        <v>51</v>
      </c>
      <c r="E26" s="15">
        <v>5</v>
      </c>
      <c r="F26" s="15"/>
      <c r="G26" s="15">
        <v>5</v>
      </c>
      <c r="H26" s="15"/>
      <c r="I26" s="15">
        <v>5</v>
      </c>
      <c r="J26" s="15">
        <v>5</v>
      </c>
      <c r="K26" s="15">
        <v>5</v>
      </c>
      <c r="L26" s="15">
        <v>684.76555599999995</v>
      </c>
      <c r="M26" s="15" t="s">
        <v>165</v>
      </c>
      <c r="N26" t="s">
        <v>183</v>
      </c>
      <c r="O26" t="s">
        <v>181</v>
      </c>
      <c r="P26" t="s">
        <v>143</v>
      </c>
    </row>
    <row r="27" spans="1:16" x14ac:dyDescent="0.25">
      <c r="A27" s="2" t="s">
        <v>25</v>
      </c>
      <c r="B27" s="2" t="s">
        <v>124</v>
      </c>
      <c r="C27" s="13">
        <v>20</v>
      </c>
      <c r="D27" s="14">
        <v>53</v>
      </c>
      <c r="E27" s="15">
        <v>5</v>
      </c>
      <c r="F27" s="15"/>
      <c r="G27" s="15">
        <v>5</v>
      </c>
      <c r="H27" s="15"/>
      <c r="I27" s="15">
        <v>5</v>
      </c>
      <c r="J27" s="15">
        <v>5</v>
      </c>
      <c r="K27" s="15">
        <v>5</v>
      </c>
      <c r="L27" s="15">
        <v>462.95317879999999</v>
      </c>
      <c r="M27" s="15" t="s">
        <v>165</v>
      </c>
      <c r="N27" t="s">
        <v>154</v>
      </c>
      <c r="O27" t="s">
        <v>181</v>
      </c>
      <c r="P27" t="s">
        <v>143</v>
      </c>
    </row>
    <row r="28" spans="1:16" x14ac:dyDescent="0.25">
      <c r="A28" s="2" t="s">
        <v>26</v>
      </c>
      <c r="B28" s="2" t="s">
        <v>131</v>
      </c>
      <c r="C28" s="13">
        <v>18</v>
      </c>
      <c r="D28" s="14">
        <v>55</v>
      </c>
      <c r="E28" s="15">
        <v>884.58101480000005</v>
      </c>
      <c r="F28" s="15"/>
      <c r="G28" s="15">
        <v>283.13088529999999</v>
      </c>
      <c r="H28" s="15"/>
      <c r="I28" s="15">
        <v>153.03235480000001</v>
      </c>
      <c r="J28" s="15">
        <v>153.21228479999999</v>
      </c>
      <c r="K28" s="15">
        <v>73.304586959999995</v>
      </c>
      <c r="L28" s="15">
        <v>14.44225385</v>
      </c>
      <c r="M28" s="15" t="s">
        <v>165</v>
      </c>
      <c r="N28" t="s">
        <v>154</v>
      </c>
      <c r="O28" t="s">
        <v>149</v>
      </c>
      <c r="P28" t="s">
        <v>143</v>
      </c>
    </row>
    <row r="29" spans="1:16" x14ac:dyDescent="0.25">
      <c r="A29" s="2" t="s">
        <v>27</v>
      </c>
      <c r="B29" s="2" t="s">
        <v>132</v>
      </c>
      <c r="C29" s="13">
        <v>32</v>
      </c>
      <c r="D29" s="14">
        <v>57</v>
      </c>
      <c r="E29" s="15">
        <v>293.05568460000001</v>
      </c>
      <c r="F29" s="15"/>
      <c r="G29" s="15">
        <v>117.37420539999999</v>
      </c>
      <c r="H29" s="15"/>
      <c r="I29" s="15">
        <v>50.065703569999997</v>
      </c>
      <c r="J29" s="15">
        <v>60.926419420000002</v>
      </c>
      <c r="K29" s="15">
        <v>28.75566268</v>
      </c>
      <c r="L29" s="15">
        <v>210.0904768</v>
      </c>
      <c r="M29" s="15" t="s">
        <v>165</v>
      </c>
      <c r="N29" t="s">
        <v>184</v>
      </c>
      <c r="O29" t="s">
        <v>149</v>
      </c>
      <c r="P29" t="s">
        <v>143</v>
      </c>
    </row>
    <row r="30" spans="1:16" x14ac:dyDescent="0.25">
      <c r="A30" s="2" t="s">
        <v>28</v>
      </c>
      <c r="B30" s="2" t="s">
        <v>115</v>
      </c>
      <c r="C30" s="13">
        <v>43</v>
      </c>
      <c r="D30" s="14">
        <v>59</v>
      </c>
      <c r="E30" s="15">
        <v>1271.131468</v>
      </c>
      <c r="F30" s="15"/>
      <c r="G30" s="15">
        <v>338.05684810000002</v>
      </c>
      <c r="H30" s="15"/>
      <c r="I30" s="15">
        <v>957.03849249999996</v>
      </c>
      <c r="J30" s="15">
        <v>569.20148810000001</v>
      </c>
      <c r="K30" s="15">
        <v>88.706562250000005</v>
      </c>
      <c r="L30" s="15">
        <v>219.7970273</v>
      </c>
      <c r="M30" s="15" t="s">
        <v>165</v>
      </c>
      <c r="N30" t="s">
        <v>153</v>
      </c>
      <c r="O30" t="s">
        <v>181</v>
      </c>
      <c r="P30" t="s">
        <v>143</v>
      </c>
    </row>
    <row r="31" spans="1:16" x14ac:dyDescent="0.25">
      <c r="A31" s="2" t="s">
        <v>29</v>
      </c>
      <c r="B31" s="2" t="s">
        <v>124</v>
      </c>
      <c r="C31" s="13">
        <v>20</v>
      </c>
      <c r="D31" s="14">
        <v>61</v>
      </c>
      <c r="E31" s="15">
        <v>1781.280614</v>
      </c>
      <c r="F31" s="15"/>
      <c r="G31" s="15">
        <v>616.46182450000003</v>
      </c>
      <c r="H31" s="15"/>
      <c r="I31" s="15">
        <v>247.25747920000001</v>
      </c>
      <c r="J31" s="15">
        <v>264.15316430000001</v>
      </c>
      <c r="K31" s="15">
        <v>110.8897228</v>
      </c>
      <c r="L31" s="15">
        <v>977.57489659999999</v>
      </c>
      <c r="M31" s="15" t="s">
        <v>165</v>
      </c>
      <c r="N31" t="s">
        <v>154</v>
      </c>
      <c r="O31" t="s">
        <v>149</v>
      </c>
      <c r="P31" t="s">
        <v>143</v>
      </c>
    </row>
    <row r="32" spans="1:16" x14ac:dyDescent="0.25">
      <c r="A32" s="2" t="s">
        <v>30</v>
      </c>
      <c r="B32" s="2" t="s">
        <v>119</v>
      </c>
      <c r="C32" s="13">
        <v>37</v>
      </c>
      <c r="D32" s="14">
        <v>63</v>
      </c>
      <c r="E32" s="15">
        <v>143.6518925</v>
      </c>
      <c r="F32" s="15"/>
      <c r="G32" s="15">
        <v>93.857096839999997</v>
      </c>
      <c r="H32" s="15"/>
      <c r="I32" s="15">
        <v>25.801567550000001</v>
      </c>
      <c r="J32" s="15">
        <v>34.400465029999999</v>
      </c>
      <c r="K32" s="15">
        <v>12.589841180000001</v>
      </c>
      <c r="L32" s="15">
        <v>310.68849340000003</v>
      </c>
      <c r="M32" s="15" t="s">
        <v>165</v>
      </c>
      <c r="N32" t="s">
        <v>154</v>
      </c>
      <c r="O32" t="s">
        <v>181</v>
      </c>
      <c r="P32" t="s">
        <v>143</v>
      </c>
    </row>
    <row r="33" spans="1:16" x14ac:dyDescent="0.25">
      <c r="A33" s="2" t="s">
        <v>31</v>
      </c>
      <c r="B33" s="2" t="s">
        <v>132</v>
      </c>
      <c r="C33" s="13">
        <v>32</v>
      </c>
      <c r="D33" s="14">
        <v>65</v>
      </c>
      <c r="E33" s="15">
        <v>248.12211099999999</v>
      </c>
      <c r="F33" s="15"/>
      <c r="G33" s="15">
        <v>122.4874714</v>
      </c>
      <c r="H33" s="15"/>
      <c r="I33" s="15">
        <v>57.917829920000003</v>
      </c>
      <c r="J33" s="15">
        <v>76.471986580000006</v>
      </c>
      <c r="K33" s="15">
        <v>43.348981080000001</v>
      </c>
      <c r="L33" s="15">
        <v>173.06965059999999</v>
      </c>
      <c r="M33" s="15" t="s">
        <v>164</v>
      </c>
      <c r="N33" t="s">
        <v>182</v>
      </c>
      <c r="O33" t="s">
        <v>181</v>
      </c>
      <c r="P33" t="s">
        <v>143</v>
      </c>
    </row>
    <row r="34" spans="1:16" x14ac:dyDescent="0.25">
      <c r="A34" s="2" t="s">
        <v>32</v>
      </c>
      <c r="B34" s="2" t="s">
        <v>133</v>
      </c>
      <c r="C34" s="13">
        <v>39</v>
      </c>
      <c r="D34" s="14">
        <v>67</v>
      </c>
      <c r="E34" s="15">
        <v>661.73281599999996</v>
      </c>
      <c r="F34" s="15"/>
      <c r="G34" s="15">
        <v>231.45441210000001</v>
      </c>
      <c r="H34" s="15"/>
      <c r="I34" s="15">
        <v>114.1189121</v>
      </c>
      <c r="J34" s="15">
        <v>45.920728189999998</v>
      </c>
      <c r="K34" s="15">
        <v>118.64404450000001</v>
      </c>
      <c r="L34" s="15">
        <v>79.531218539999998</v>
      </c>
      <c r="M34" s="15" t="s">
        <v>165</v>
      </c>
      <c r="N34" t="s">
        <v>153</v>
      </c>
      <c r="O34" t="s">
        <v>181</v>
      </c>
      <c r="P34" t="s">
        <v>143</v>
      </c>
    </row>
    <row r="35" spans="1:16" x14ac:dyDescent="0.25">
      <c r="A35" s="2" t="s">
        <v>33</v>
      </c>
      <c r="B35" s="2" t="s">
        <v>134</v>
      </c>
      <c r="C35" s="13">
        <v>27</v>
      </c>
      <c r="D35" s="14">
        <v>69</v>
      </c>
      <c r="E35" s="15">
        <v>240.15074870000001</v>
      </c>
      <c r="F35" s="15"/>
      <c r="G35" s="15">
        <v>112.5460156</v>
      </c>
      <c r="H35" s="15"/>
      <c r="I35" s="15">
        <v>37.438557879999998</v>
      </c>
      <c r="J35" s="15">
        <v>45.978263050000002</v>
      </c>
      <c r="K35" s="15">
        <v>16.457592829999999</v>
      </c>
      <c r="L35" s="15">
        <v>185.8579652</v>
      </c>
      <c r="M35" s="15" t="s">
        <v>164</v>
      </c>
      <c r="N35" t="s">
        <v>154</v>
      </c>
      <c r="O35" t="s">
        <v>149</v>
      </c>
      <c r="P35" t="s">
        <v>143</v>
      </c>
    </row>
    <row r="36" spans="1:16" x14ac:dyDescent="0.25">
      <c r="A36" s="2" t="s">
        <v>34</v>
      </c>
      <c r="B36" s="2" t="s">
        <v>135</v>
      </c>
      <c r="C36" s="13">
        <v>45</v>
      </c>
      <c r="D36" s="14">
        <v>71</v>
      </c>
      <c r="E36" s="15">
        <v>5</v>
      </c>
      <c r="F36" s="15"/>
      <c r="G36" s="15">
        <v>5</v>
      </c>
      <c r="H36" s="15"/>
      <c r="I36" s="15">
        <v>12.169945999999999</v>
      </c>
      <c r="J36" s="15">
        <v>5</v>
      </c>
      <c r="K36" s="15">
        <v>5</v>
      </c>
      <c r="L36" s="15">
        <v>122.7648903</v>
      </c>
      <c r="M36" s="15" t="s">
        <v>164</v>
      </c>
      <c r="N36" t="s">
        <v>153</v>
      </c>
      <c r="O36" t="s">
        <v>181</v>
      </c>
      <c r="P36" t="s">
        <v>143</v>
      </c>
    </row>
    <row r="37" spans="1:16" x14ac:dyDescent="0.25">
      <c r="A37" s="2" t="s">
        <v>35</v>
      </c>
      <c r="B37" s="2" t="s">
        <v>136</v>
      </c>
      <c r="C37" s="13">
        <v>39</v>
      </c>
      <c r="D37" s="14">
        <v>73</v>
      </c>
      <c r="E37" s="15">
        <v>839.6024496</v>
      </c>
      <c r="F37" s="15"/>
      <c r="G37" s="15">
        <v>307.5325565</v>
      </c>
      <c r="H37" s="15"/>
      <c r="I37" s="15">
        <v>65.385592560000006</v>
      </c>
      <c r="J37" s="15">
        <v>115.0142523</v>
      </c>
      <c r="K37" s="15">
        <v>38.866798199999998</v>
      </c>
      <c r="L37" s="15">
        <v>220.91085949999999</v>
      </c>
      <c r="M37" s="15" t="s">
        <v>164</v>
      </c>
      <c r="N37" t="s">
        <v>154</v>
      </c>
      <c r="O37" t="s">
        <v>149</v>
      </c>
      <c r="P37" t="s">
        <v>143</v>
      </c>
    </row>
    <row r="38" spans="1:16" x14ac:dyDescent="0.25">
      <c r="A38" s="2" t="s">
        <v>36</v>
      </c>
      <c r="B38" s="2" t="s">
        <v>137</v>
      </c>
      <c r="C38" s="13">
        <v>42</v>
      </c>
      <c r="D38" s="14">
        <v>75</v>
      </c>
      <c r="E38" s="15">
        <v>239.9799725</v>
      </c>
      <c r="F38" s="15"/>
      <c r="G38" s="15">
        <v>205.15173100000001</v>
      </c>
      <c r="H38" s="15"/>
      <c r="I38" s="15">
        <v>72.363243359999998</v>
      </c>
      <c r="J38" s="15">
        <v>94.318064079999999</v>
      </c>
      <c r="K38" s="15">
        <v>20.51032511</v>
      </c>
      <c r="L38" s="15">
        <v>283.46167359999998</v>
      </c>
      <c r="M38" s="15" t="s">
        <v>165</v>
      </c>
      <c r="N38" t="s">
        <v>154</v>
      </c>
      <c r="O38" t="s">
        <v>149</v>
      </c>
      <c r="P38" t="s">
        <v>143</v>
      </c>
    </row>
    <row r="39" spans="1:16" x14ac:dyDescent="0.25">
      <c r="A39" s="2" t="s">
        <v>37</v>
      </c>
      <c r="B39" s="2" t="s">
        <v>137</v>
      </c>
      <c r="C39" s="13">
        <v>43</v>
      </c>
      <c r="D39" s="14">
        <v>77</v>
      </c>
      <c r="E39" s="15">
        <v>577.65402200000005</v>
      </c>
      <c r="F39" s="15"/>
      <c r="G39" s="15">
        <v>53.140065040000003</v>
      </c>
      <c r="H39" s="15"/>
      <c r="I39" s="15">
        <v>41.253033559999999</v>
      </c>
      <c r="J39" s="15">
        <v>37.245532359999999</v>
      </c>
      <c r="K39" s="15">
        <v>24.524345629999999</v>
      </c>
      <c r="L39" s="15">
        <v>3373.4587280000001</v>
      </c>
      <c r="M39" s="15" t="s">
        <v>165</v>
      </c>
      <c r="N39" t="s">
        <v>153</v>
      </c>
      <c r="O39" t="s">
        <v>181</v>
      </c>
      <c r="P39" t="s">
        <v>143</v>
      </c>
    </row>
    <row r="40" spans="1:16" x14ac:dyDescent="0.25">
      <c r="A40" s="2" t="s">
        <v>38</v>
      </c>
      <c r="B40" s="2" t="s">
        <v>138</v>
      </c>
      <c r="C40" s="13">
        <v>47</v>
      </c>
      <c r="D40" s="14">
        <v>79</v>
      </c>
      <c r="E40" s="15">
        <v>5</v>
      </c>
      <c r="F40" s="15"/>
      <c r="G40" s="15">
        <v>5</v>
      </c>
      <c r="H40" s="15"/>
      <c r="I40" s="15">
        <v>5</v>
      </c>
      <c r="J40" s="15">
        <v>5</v>
      </c>
      <c r="K40" s="15">
        <v>5</v>
      </c>
      <c r="L40" s="15">
        <v>1175.4747970000001</v>
      </c>
      <c r="M40" s="15" t="s">
        <v>164</v>
      </c>
      <c r="N40" t="s">
        <v>154</v>
      </c>
      <c r="O40" t="s">
        <v>149</v>
      </c>
      <c r="P40" t="s">
        <v>143</v>
      </c>
    </row>
    <row r="41" spans="1:16" x14ac:dyDescent="0.25">
      <c r="A41" s="9" t="s">
        <v>39</v>
      </c>
      <c r="B41" s="2" t="s">
        <v>111</v>
      </c>
      <c r="C41" s="13">
        <v>36</v>
      </c>
      <c r="D41" s="14">
        <v>81</v>
      </c>
      <c r="E41" s="15">
        <v>35.142934689999997</v>
      </c>
      <c r="F41" s="15"/>
      <c r="G41" s="15">
        <v>139.74267169999999</v>
      </c>
      <c r="H41" s="15"/>
      <c r="I41" s="15">
        <v>45.043854639999999</v>
      </c>
      <c r="J41" s="15">
        <v>48.175256359999999</v>
      </c>
      <c r="K41" s="15">
        <v>27.960256340000001</v>
      </c>
      <c r="L41" s="15">
        <v>1898.709122</v>
      </c>
      <c r="M41" s="15" t="s">
        <v>165</v>
      </c>
      <c r="N41" t="s">
        <v>154</v>
      </c>
      <c r="O41" t="s">
        <v>181</v>
      </c>
      <c r="P41" t="s">
        <v>143</v>
      </c>
    </row>
    <row r="42" spans="1:16" x14ac:dyDescent="0.25">
      <c r="A42" s="2" t="s">
        <v>40</v>
      </c>
      <c r="B42" s="2" t="s">
        <v>135</v>
      </c>
      <c r="C42" s="13">
        <v>45</v>
      </c>
      <c r="D42" s="14">
        <v>83</v>
      </c>
      <c r="E42" s="15">
        <v>5</v>
      </c>
      <c r="F42" s="15"/>
      <c r="G42" s="15">
        <v>5</v>
      </c>
      <c r="H42" s="15"/>
      <c r="I42" s="15">
        <v>5</v>
      </c>
      <c r="J42" s="15">
        <v>5</v>
      </c>
      <c r="K42" s="15">
        <v>5</v>
      </c>
      <c r="L42" s="15">
        <v>44.723598420000002</v>
      </c>
      <c r="M42" s="15" t="s">
        <v>164</v>
      </c>
      <c r="N42" t="s">
        <v>153</v>
      </c>
      <c r="O42" t="s">
        <v>181</v>
      </c>
      <c r="P42" t="s">
        <v>143</v>
      </c>
    </row>
    <row r="43" spans="1:16" x14ac:dyDescent="0.25">
      <c r="A43" s="2" t="s">
        <v>41</v>
      </c>
      <c r="B43" s="2" t="s">
        <v>134</v>
      </c>
      <c r="C43" s="13">
        <v>26</v>
      </c>
      <c r="D43" s="14">
        <v>85</v>
      </c>
      <c r="E43" s="15">
        <v>239.43074960000001</v>
      </c>
      <c r="F43" s="15"/>
      <c r="G43" s="15">
        <v>5</v>
      </c>
      <c r="H43" s="15"/>
      <c r="I43" s="15">
        <v>19.192478699999999</v>
      </c>
      <c r="J43" s="15">
        <v>5</v>
      </c>
      <c r="K43" s="15">
        <v>5</v>
      </c>
      <c r="L43" s="15">
        <v>10.706384610000001</v>
      </c>
      <c r="M43" s="15" t="s">
        <v>164</v>
      </c>
      <c r="N43" t="s">
        <v>153</v>
      </c>
      <c r="O43" t="s">
        <v>181</v>
      </c>
      <c r="P43" t="s">
        <v>143</v>
      </c>
    </row>
    <row r="44" spans="1:16" x14ac:dyDescent="0.25">
      <c r="A44" s="2" t="s">
        <v>42</v>
      </c>
      <c r="B44" s="2" t="s">
        <v>118</v>
      </c>
      <c r="C44" s="13">
        <v>34</v>
      </c>
      <c r="D44" s="14">
        <v>87</v>
      </c>
      <c r="E44" s="15">
        <v>5</v>
      </c>
      <c r="F44" s="15"/>
      <c r="G44" s="15">
        <v>5</v>
      </c>
      <c r="H44" s="15"/>
      <c r="I44" s="15">
        <v>5</v>
      </c>
      <c r="J44" s="15">
        <v>5</v>
      </c>
      <c r="K44" s="15">
        <v>5</v>
      </c>
      <c r="L44" s="15">
        <v>5</v>
      </c>
      <c r="M44" s="15" t="s">
        <v>165</v>
      </c>
      <c r="N44" t="s">
        <v>153</v>
      </c>
      <c r="O44" t="s">
        <v>181</v>
      </c>
      <c r="P44" t="s">
        <v>143</v>
      </c>
    </row>
    <row r="45" spans="1:16" x14ac:dyDescent="0.25">
      <c r="A45" s="2" t="s">
        <v>43</v>
      </c>
      <c r="B45" s="2" t="s">
        <v>124</v>
      </c>
      <c r="C45" s="13">
        <v>21</v>
      </c>
      <c r="D45" s="14">
        <v>89</v>
      </c>
      <c r="E45" s="15">
        <v>5</v>
      </c>
      <c r="F45" s="15"/>
      <c r="G45" s="15">
        <v>5</v>
      </c>
      <c r="H45" s="15"/>
      <c r="I45" s="15">
        <v>5</v>
      </c>
      <c r="J45" s="15">
        <v>5</v>
      </c>
      <c r="K45" s="15">
        <v>5</v>
      </c>
      <c r="L45" s="15">
        <v>5</v>
      </c>
      <c r="M45" s="15" t="s">
        <v>164</v>
      </c>
      <c r="N45" t="s">
        <v>153</v>
      </c>
      <c r="O45" t="s">
        <v>181</v>
      </c>
      <c r="P45" t="s">
        <v>143</v>
      </c>
    </row>
    <row r="46" spans="1:16" x14ac:dyDescent="0.25">
      <c r="A46" s="2" t="s">
        <v>44</v>
      </c>
      <c r="B46" s="2" t="s">
        <v>138</v>
      </c>
      <c r="C46" s="13">
        <v>47</v>
      </c>
      <c r="D46" s="14">
        <v>91</v>
      </c>
      <c r="E46" s="15">
        <v>5</v>
      </c>
      <c r="F46" s="15"/>
      <c r="G46" s="15">
        <v>5</v>
      </c>
      <c r="H46" s="15"/>
      <c r="I46" s="15">
        <v>5</v>
      </c>
      <c r="J46" s="15">
        <v>5</v>
      </c>
      <c r="K46" s="15">
        <v>5</v>
      </c>
      <c r="L46" s="15">
        <v>599.24129389999996</v>
      </c>
      <c r="M46" s="15" t="s">
        <v>165</v>
      </c>
      <c r="N46" t="s">
        <v>154</v>
      </c>
      <c r="O46" t="s">
        <v>181</v>
      </c>
      <c r="P46" t="s">
        <v>143</v>
      </c>
    </row>
    <row r="47" spans="1:16" x14ac:dyDescent="0.25">
      <c r="A47" s="2" t="s">
        <v>45</v>
      </c>
      <c r="B47" s="2" t="s">
        <v>125</v>
      </c>
      <c r="C47" s="13">
        <v>29</v>
      </c>
      <c r="D47" s="14">
        <v>93</v>
      </c>
      <c r="E47" s="15">
        <v>1056.192503</v>
      </c>
      <c r="F47" s="15"/>
      <c r="G47" s="15">
        <v>348.92765279999998</v>
      </c>
      <c r="H47" s="15"/>
      <c r="I47" s="15">
        <v>65.191698529999996</v>
      </c>
      <c r="J47" s="15">
        <v>140.15610090000001</v>
      </c>
      <c r="K47" s="15">
        <v>27.26543118</v>
      </c>
      <c r="L47" s="15">
        <v>725.92518140000004</v>
      </c>
      <c r="M47" s="15" t="s">
        <v>165</v>
      </c>
      <c r="N47" t="s">
        <v>154</v>
      </c>
      <c r="O47" t="s">
        <v>181</v>
      </c>
      <c r="P47" t="s">
        <v>143</v>
      </c>
    </row>
    <row r="48" spans="1:16" x14ac:dyDescent="0.25">
      <c r="A48" s="2" t="s">
        <v>46</v>
      </c>
      <c r="B48" s="2" t="s">
        <v>115</v>
      </c>
      <c r="C48" s="13">
        <v>43</v>
      </c>
      <c r="D48" s="14">
        <v>95</v>
      </c>
      <c r="E48" s="15">
        <v>600.09693500000003</v>
      </c>
      <c r="F48" s="15"/>
      <c r="G48" s="15">
        <v>61.351695669999998</v>
      </c>
      <c r="H48" s="15"/>
      <c r="I48" s="15">
        <v>56.30277555</v>
      </c>
      <c r="J48" s="15">
        <v>50.039889160000001</v>
      </c>
      <c r="K48" s="15">
        <v>61.952511370000003</v>
      </c>
      <c r="L48" s="15">
        <v>690.41759760000002</v>
      </c>
      <c r="M48" s="15" t="s">
        <v>164</v>
      </c>
      <c r="N48" t="s">
        <v>153</v>
      </c>
      <c r="O48" t="s">
        <v>181</v>
      </c>
      <c r="P48" t="s">
        <v>143</v>
      </c>
    </row>
    <row r="49" spans="1:16" x14ac:dyDescent="0.25">
      <c r="A49" s="2" t="s">
        <v>47</v>
      </c>
      <c r="B49" s="2" t="s">
        <v>135</v>
      </c>
      <c r="C49" s="13">
        <v>45</v>
      </c>
      <c r="D49" s="14">
        <v>97</v>
      </c>
      <c r="E49" s="15">
        <v>50.764900279999999</v>
      </c>
      <c r="F49" s="15"/>
      <c r="G49" s="15">
        <v>23.318929019999999</v>
      </c>
      <c r="H49" s="15"/>
      <c r="I49" s="15">
        <v>15.377250310000001</v>
      </c>
      <c r="J49" s="15">
        <v>28.744143210000001</v>
      </c>
      <c r="K49" s="15">
        <v>27.638190460000001</v>
      </c>
      <c r="L49" s="15">
        <v>603.17871930000001</v>
      </c>
      <c r="M49" s="15" t="s">
        <v>164</v>
      </c>
      <c r="N49" t="s">
        <v>153</v>
      </c>
      <c r="O49" t="s">
        <v>181</v>
      </c>
      <c r="P49" t="s">
        <v>143</v>
      </c>
    </row>
    <row r="50" spans="1:16" x14ac:dyDescent="0.25">
      <c r="A50" s="2" t="s">
        <v>48</v>
      </c>
      <c r="B50" s="2" t="s">
        <v>120</v>
      </c>
      <c r="C50" s="13">
        <v>46</v>
      </c>
      <c r="D50" s="14">
        <v>99</v>
      </c>
      <c r="E50" s="15">
        <v>418.36734790000003</v>
      </c>
      <c r="F50" s="15"/>
      <c r="G50" s="15">
        <v>181.41755599999999</v>
      </c>
      <c r="H50" s="15"/>
      <c r="I50" s="15">
        <v>197.4902294</v>
      </c>
      <c r="J50" s="15">
        <v>167.66813070000001</v>
      </c>
      <c r="K50" s="15">
        <v>158.0663644</v>
      </c>
      <c r="L50" s="15">
        <v>2576.8892940000001</v>
      </c>
      <c r="M50" s="15" t="s">
        <v>165</v>
      </c>
      <c r="N50" t="s">
        <v>153</v>
      </c>
      <c r="O50" t="s">
        <v>181</v>
      </c>
      <c r="P50" t="s">
        <v>143</v>
      </c>
    </row>
    <row r="51" spans="1:16" x14ac:dyDescent="0.25">
      <c r="A51" s="2" t="s">
        <v>49</v>
      </c>
      <c r="B51" s="2" t="s">
        <v>114</v>
      </c>
      <c r="C51" s="13">
        <v>33</v>
      </c>
      <c r="D51" s="14">
        <v>101</v>
      </c>
      <c r="E51" s="15">
        <v>610.61994779999998</v>
      </c>
      <c r="F51" s="15"/>
      <c r="G51" s="15">
        <v>225.2609229</v>
      </c>
      <c r="H51" s="15"/>
      <c r="I51" s="15">
        <v>61.581484770000003</v>
      </c>
      <c r="J51" s="15">
        <v>42.247918490000004</v>
      </c>
      <c r="K51" s="15">
        <v>26.036436009999999</v>
      </c>
      <c r="L51" s="15">
        <v>239.30985000000001</v>
      </c>
      <c r="M51" s="15" t="s">
        <v>165</v>
      </c>
      <c r="N51" t="s">
        <v>153</v>
      </c>
      <c r="O51" t="s">
        <v>181</v>
      </c>
      <c r="P51" t="s">
        <v>143</v>
      </c>
    </row>
    <row r="52" spans="1:16" x14ac:dyDescent="0.25">
      <c r="A52" s="2" t="s">
        <v>50</v>
      </c>
      <c r="B52" s="2" t="s">
        <v>137</v>
      </c>
      <c r="C52" s="13">
        <v>42</v>
      </c>
      <c r="D52" s="14">
        <v>103</v>
      </c>
      <c r="E52" s="15">
        <v>446.5839909</v>
      </c>
      <c r="F52" s="15"/>
      <c r="G52" s="15">
        <v>167.926894</v>
      </c>
      <c r="H52" s="15"/>
      <c r="I52" s="15">
        <v>201.85747979999999</v>
      </c>
      <c r="J52" s="15">
        <v>212.4892376</v>
      </c>
      <c r="K52" s="15">
        <v>124.9697785</v>
      </c>
      <c r="L52" s="15">
        <v>1863.799156</v>
      </c>
      <c r="M52" s="15" t="s">
        <v>165</v>
      </c>
      <c r="N52" t="s">
        <v>154</v>
      </c>
      <c r="O52" t="s">
        <v>181</v>
      </c>
      <c r="P52" t="s">
        <v>143</v>
      </c>
    </row>
    <row r="53" spans="1:16" x14ac:dyDescent="0.25">
      <c r="A53" s="2" t="s">
        <v>51</v>
      </c>
      <c r="B53" s="2" t="s">
        <v>129</v>
      </c>
      <c r="C53" s="13">
        <v>27</v>
      </c>
      <c r="D53" s="14">
        <v>105</v>
      </c>
      <c r="E53" s="15">
        <v>561.37460850000002</v>
      </c>
      <c r="F53" s="15"/>
      <c r="G53" s="15">
        <v>77.179938460000002</v>
      </c>
      <c r="H53" s="15"/>
      <c r="I53" s="15">
        <v>30.025955920000001</v>
      </c>
      <c r="J53" s="15">
        <v>53.500451259999998</v>
      </c>
      <c r="K53" s="15">
        <v>25.005385180000001</v>
      </c>
      <c r="L53" s="15">
        <v>544.69312709999997</v>
      </c>
      <c r="M53" s="15" t="s">
        <v>165</v>
      </c>
      <c r="N53" t="s">
        <v>153</v>
      </c>
      <c r="O53" t="s">
        <v>181</v>
      </c>
      <c r="P53" t="s">
        <v>143</v>
      </c>
    </row>
    <row r="54" spans="1:16" x14ac:dyDescent="0.25">
      <c r="A54" s="2" t="s">
        <v>52</v>
      </c>
      <c r="B54" s="2" t="s">
        <v>124</v>
      </c>
      <c r="C54" s="13">
        <v>21</v>
      </c>
      <c r="D54" s="14">
        <v>107</v>
      </c>
      <c r="E54" s="15">
        <v>206.67142200000001</v>
      </c>
      <c r="F54" s="15"/>
      <c r="G54" s="15">
        <v>160.5556971</v>
      </c>
      <c r="H54" s="15"/>
      <c r="I54" s="15">
        <v>154.03991400000001</v>
      </c>
      <c r="J54" s="15">
        <v>166.1247582</v>
      </c>
      <c r="K54" s="15">
        <v>66.392569449999996</v>
      </c>
      <c r="L54" s="15">
        <v>293.98723569999999</v>
      </c>
      <c r="M54" s="15" t="s">
        <v>165</v>
      </c>
      <c r="N54" t="s">
        <v>154</v>
      </c>
      <c r="O54" t="s">
        <v>181</v>
      </c>
      <c r="P54" t="s">
        <v>143</v>
      </c>
    </row>
    <row r="55" spans="1:16" x14ac:dyDescent="0.25">
      <c r="A55" s="2" t="s">
        <v>53</v>
      </c>
      <c r="B55" s="2" t="s">
        <v>139</v>
      </c>
      <c r="C55" s="13">
        <v>26</v>
      </c>
      <c r="D55" s="14">
        <v>109</v>
      </c>
      <c r="E55" s="15">
        <v>1973.3285980000001</v>
      </c>
      <c r="F55" s="15"/>
      <c r="G55" s="15">
        <v>1451.7458810000001</v>
      </c>
      <c r="H55" s="15"/>
      <c r="I55" s="15">
        <v>1244.798916</v>
      </c>
      <c r="J55" s="15">
        <v>1442.6884910000001</v>
      </c>
      <c r="K55" s="15">
        <v>1730.9420480000001</v>
      </c>
      <c r="L55" s="15">
        <v>1756.2657819999999</v>
      </c>
      <c r="M55" s="15" t="s">
        <v>165</v>
      </c>
      <c r="N55" t="s">
        <v>153</v>
      </c>
      <c r="O55" t="s">
        <v>181</v>
      </c>
      <c r="P55" t="s">
        <v>143</v>
      </c>
    </row>
    <row r="56" spans="1:16" x14ac:dyDescent="0.25">
      <c r="A56" s="2" t="s">
        <v>54</v>
      </c>
      <c r="B56" s="2" t="s">
        <v>123</v>
      </c>
      <c r="C56" s="13">
        <v>42</v>
      </c>
      <c r="D56" s="14">
        <v>111</v>
      </c>
      <c r="E56" s="15">
        <v>551.96231660000001</v>
      </c>
      <c r="F56" s="15"/>
      <c r="G56" s="15">
        <v>232.69669339999999</v>
      </c>
      <c r="H56" s="15"/>
      <c r="I56" s="15">
        <v>110.06939680000001</v>
      </c>
      <c r="J56" s="15">
        <v>40.358388499999997</v>
      </c>
      <c r="K56" s="15">
        <v>31.925894270000001</v>
      </c>
      <c r="L56" s="15">
        <v>1653.9097420000001</v>
      </c>
      <c r="M56" s="15" t="s">
        <v>164</v>
      </c>
      <c r="N56" t="s">
        <v>153</v>
      </c>
      <c r="O56" t="s">
        <v>181</v>
      </c>
      <c r="P56" t="s">
        <v>143</v>
      </c>
    </row>
    <row r="57" spans="1:16" x14ac:dyDescent="0.25">
      <c r="A57" s="2" t="s">
        <v>55</v>
      </c>
      <c r="B57" s="2" t="s">
        <v>122</v>
      </c>
      <c r="C57" s="13">
        <v>49</v>
      </c>
      <c r="D57" s="14">
        <v>113</v>
      </c>
      <c r="E57" s="15">
        <v>689.34443829999998</v>
      </c>
      <c r="F57" s="15"/>
      <c r="G57" s="15">
        <v>187.65751230000001</v>
      </c>
      <c r="H57" s="15"/>
      <c r="I57" s="15">
        <v>324.6707935</v>
      </c>
      <c r="J57" s="15">
        <v>301.99138049999999</v>
      </c>
      <c r="K57" s="15">
        <v>58.87629957</v>
      </c>
      <c r="L57" s="15">
        <v>1823.3166839999999</v>
      </c>
      <c r="M57" s="15" t="s">
        <v>165</v>
      </c>
      <c r="N57" t="s">
        <v>153</v>
      </c>
      <c r="O57" t="s">
        <v>181</v>
      </c>
      <c r="P57" t="s">
        <v>143</v>
      </c>
    </row>
    <row r="58" spans="1:16" x14ac:dyDescent="0.25">
      <c r="A58" s="2" t="s">
        <v>56</v>
      </c>
      <c r="B58" s="2" t="s">
        <v>133</v>
      </c>
      <c r="C58" s="13">
        <v>39</v>
      </c>
      <c r="D58" s="14">
        <v>115</v>
      </c>
      <c r="E58" s="15">
        <v>11.88386455</v>
      </c>
      <c r="F58" s="15"/>
      <c r="G58" s="15">
        <v>5</v>
      </c>
      <c r="H58" s="15"/>
      <c r="I58" s="15">
        <v>5</v>
      </c>
      <c r="J58" s="15">
        <v>5</v>
      </c>
      <c r="K58" s="15">
        <v>5</v>
      </c>
      <c r="L58" s="15">
        <v>79.987772719999995</v>
      </c>
      <c r="M58" s="15" t="s">
        <v>165</v>
      </c>
      <c r="N58" t="s">
        <v>153</v>
      </c>
      <c r="O58" t="s">
        <v>181</v>
      </c>
      <c r="P58" t="s">
        <v>143</v>
      </c>
    </row>
    <row r="59" spans="1:16" x14ac:dyDescent="0.25">
      <c r="A59" s="2" t="s">
        <v>57</v>
      </c>
      <c r="B59" s="2" t="s">
        <v>126</v>
      </c>
      <c r="C59" s="13">
        <v>30</v>
      </c>
      <c r="D59" s="14">
        <v>117</v>
      </c>
      <c r="E59" s="15">
        <v>5</v>
      </c>
      <c r="F59" s="15"/>
      <c r="G59" s="15">
        <v>5</v>
      </c>
      <c r="H59" s="15"/>
      <c r="I59" s="15">
        <v>5</v>
      </c>
      <c r="J59" s="15">
        <v>5</v>
      </c>
      <c r="K59" s="15">
        <v>5</v>
      </c>
      <c r="L59" s="15">
        <v>31.24790089</v>
      </c>
      <c r="M59" s="15" t="s">
        <v>165</v>
      </c>
      <c r="N59" t="s">
        <v>185</v>
      </c>
      <c r="O59" t="s">
        <v>181</v>
      </c>
      <c r="P59" t="s">
        <v>143</v>
      </c>
    </row>
    <row r="60" spans="1:16" x14ac:dyDescent="0.25">
      <c r="A60" s="2" t="s">
        <v>58</v>
      </c>
      <c r="B60" s="2" t="s">
        <v>136</v>
      </c>
      <c r="C60" s="13">
        <v>39</v>
      </c>
      <c r="D60" s="14">
        <v>119</v>
      </c>
      <c r="E60" s="15">
        <v>23.212397930000002</v>
      </c>
      <c r="F60" s="15"/>
      <c r="G60" s="15">
        <v>5</v>
      </c>
      <c r="H60" s="15"/>
      <c r="I60" s="15">
        <v>5</v>
      </c>
      <c r="J60" s="15">
        <v>5</v>
      </c>
      <c r="K60" s="15">
        <v>5</v>
      </c>
      <c r="L60" s="15">
        <v>330.20962839999999</v>
      </c>
      <c r="M60" s="15" t="s">
        <v>164</v>
      </c>
      <c r="N60" t="s">
        <v>153</v>
      </c>
      <c r="O60" t="s">
        <v>181</v>
      </c>
      <c r="P60" t="s">
        <v>143</v>
      </c>
    </row>
    <row r="61" spans="1:16" x14ac:dyDescent="0.25">
      <c r="A61" s="2" t="s">
        <v>59</v>
      </c>
      <c r="B61" s="2" t="s">
        <v>120</v>
      </c>
      <c r="C61" s="13">
        <v>45</v>
      </c>
      <c r="D61" s="14">
        <v>121</v>
      </c>
      <c r="E61" s="15">
        <v>242.89812509999999</v>
      </c>
      <c r="F61" s="15"/>
      <c r="G61" s="15">
        <v>59.012240009999999</v>
      </c>
      <c r="H61" s="15"/>
      <c r="I61" s="15">
        <v>37.230183789999998</v>
      </c>
      <c r="J61" s="15">
        <v>43.308549339999999</v>
      </c>
      <c r="K61" s="15">
        <v>81.650918320000002</v>
      </c>
      <c r="L61" s="15">
        <v>2476.4425110000002</v>
      </c>
      <c r="M61" s="15" t="s">
        <v>165</v>
      </c>
      <c r="N61" t="s">
        <v>153</v>
      </c>
      <c r="O61" t="s">
        <v>181</v>
      </c>
      <c r="P61" t="s">
        <v>143</v>
      </c>
    </row>
    <row r="62" spans="1:16" x14ac:dyDescent="0.25">
      <c r="A62" s="2" t="s">
        <v>60</v>
      </c>
      <c r="B62" s="2" t="s">
        <v>140</v>
      </c>
      <c r="C62" s="13">
        <v>22</v>
      </c>
      <c r="D62" s="14">
        <v>123</v>
      </c>
      <c r="E62" s="15">
        <v>883.69058759999996</v>
      </c>
      <c r="F62" s="15"/>
      <c r="G62" s="15">
        <v>277.73908469999998</v>
      </c>
      <c r="H62" s="15"/>
      <c r="I62" s="15">
        <v>208.9692459</v>
      </c>
      <c r="J62" s="15">
        <v>54.935356089999999</v>
      </c>
      <c r="K62" s="15">
        <v>36.792873700000001</v>
      </c>
      <c r="L62" s="15">
        <v>289.60465879999998</v>
      </c>
      <c r="M62" s="15" t="s">
        <v>165</v>
      </c>
      <c r="N62" t="s">
        <v>153</v>
      </c>
      <c r="O62" t="s">
        <v>181</v>
      </c>
      <c r="P62" t="s">
        <v>143</v>
      </c>
    </row>
    <row r="63" spans="1:16" x14ac:dyDescent="0.25">
      <c r="A63" s="2" t="s">
        <v>61</v>
      </c>
      <c r="B63" s="2" t="s">
        <v>118</v>
      </c>
      <c r="C63" s="13">
        <v>35</v>
      </c>
      <c r="D63" s="14">
        <v>125</v>
      </c>
      <c r="E63" s="15">
        <v>17.888871819999999</v>
      </c>
      <c r="F63" s="15"/>
      <c r="G63" s="15">
        <v>5</v>
      </c>
      <c r="H63" s="15"/>
      <c r="I63" s="15">
        <v>5</v>
      </c>
      <c r="J63" s="15">
        <v>11.87161388</v>
      </c>
      <c r="K63" s="15">
        <v>11.17786235</v>
      </c>
      <c r="L63" s="15">
        <v>1335.1796340000001</v>
      </c>
      <c r="M63" s="15" t="s">
        <v>165</v>
      </c>
      <c r="N63" t="s">
        <v>153</v>
      </c>
      <c r="O63" t="s">
        <v>181</v>
      </c>
      <c r="P63" t="s">
        <v>143</v>
      </c>
    </row>
    <row r="64" spans="1:16" x14ac:dyDescent="0.25">
      <c r="A64" s="2" t="s">
        <v>62</v>
      </c>
      <c r="B64" s="2" t="s">
        <v>115</v>
      </c>
      <c r="C64" s="13">
        <v>44</v>
      </c>
      <c r="D64" s="14">
        <v>127</v>
      </c>
      <c r="E64" s="15">
        <v>189.4596396</v>
      </c>
      <c r="F64" s="15"/>
      <c r="G64" s="15">
        <v>70.547960669999995</v>
      </c>
      <c r="H64" s="15"/>
      <c r="I64" s="15">
        <v>67.787079590000005</v>
      </c>
      <c r="J64" s="15">
        <v>62.173815900000001</v>
      </c>
      <c r="K64" s="15">
        <v>38.676106420000004</v>
      </c>
      <c r="L64" s="15">
        <v>342.2902934</v>
      </c>
      <c r="M64" s="15" t="s">
        <v>164</v>
      </c>
      <c r="N64" t="s">
        <v>153</v>
      </c>
      <c r="O64" t="s">
        <v>181</v>
      </c>
      <c r="P64" t="s">
        <v>143</v>
      </c>
    </row>
    <row r="65" spans="1:16" x14ac:dyDescent="0.25">
      <c r="A65" s="2" t="s">
        <v>63</v>
      </c>
      <c r="B65" s="2" t="s">
        <v>121</v>
      </c>
      <c r="C65" s="13">
        <v>29</v>
      </c>
      <c r="D65" s="14">
        <v>129</v>
      </c>
      <c r="E65" s="15">
        <v>279.3585807</v>
      </c>
      <c r="F65" s="15"/>
      <c r="G65" s="15">
        <v>70.547172660000001</v>
      </c>
      <c r="H65" s="15"/>
      <c r="I65" s="15">
        <v>19.205441709999999</v>
      </c>
      <c r="J65" s="15">
        <v>29.344242340000001</v>
      </c>
      <c r="K65" s="15">
        <v>24.315534339999999</v>
      </c>
      <c r="L65" s="15">
        <v>533.43254390000004</v>
      </c>
      <c r="M65" s="15" t="s">
        <v>165</v>
      </c>
      <c r="N65" t="s">
        <v>153</v>
      </c>
      <c r="O65" t="s">
        <v>181</v>
      </c>
      <c r="P65" t="s">
        <v>143</v>
      </c>
    </row>
    <row r="66" spans="1:16" x14ac:dyDescent="0.25">
      <c r="A66" s="2" t="s">
        <v>64</v>
      </c>
      <c r="B66" s="2" t="s">
        <v>122</v>
      </c>
      <c r="C66" s="13">
        <v>49</v>
      </c>
      <c r="D66" s="14">
        <v>131</v>
      </c>
      <c r="E66" s="15">
        <v>274.46126129999999</v>
      </c>
      <c r="F66" s="15"/>
      <c r="G66" s="15">
        <v>65.326247370000004</v>
      </c>
      <c r="H66" s="15"/>
      <c r="I66" s="15">
        <v>55.368632529999999</v>
      </c>
      <c r="J66" s="15">
        <v>63.409135229999997</v>
      </c>
      <c r="K66" s="15">
        <v>27.46171644</v>
      </c>
      <c r="L66" s="15">
        <v>363.71012280000002</v>
      </c>
      <c r="M66" s="15" t="s">
        <v>165</v>
      </c>
      <c r="N66" t="s">
        <v>154</v>
      </c>
      <c r="O66" t="s">
        <v>181</v>
      </c>
      <c r="P66" t="s">
        <v>143</v>
      </c>
    </row>
    <row r="67" spans="1:16" x14ac:dyDescent="0.25">
      <c r="A67" s="2" t="s">
        <v>65</v>
      </c>
      <c r="B67" s="2" t="s">
        <v>130</v>
      </c>
      <c r="C67" s="13">
        <v>21</v>
      </c>
      <c r="D67" s="14">
        <v>133</v>
      </c>
      <c r="E67" s="15">
        <v>319.23506739999999</v>
      </c>
      <c r="F67" s="15"/>
      <c r="G67" s="15">
        <v>223.22958019999999</v>
      </c>
      <c r="H67" s="15"/>
      <c r="I67" s="15">
        <v>34.544597269999997</v>
      </c>
      <c r="J67" s="15">
        <v>50.710878430000001</v>
      </c>
      <c r="K67" s="15">
        <v>23.743617650000001</v>
      </c>
      <c r="L67" s="15">
        <v>14.880957609999999</v>
      </c>
      <c r="M67" s="15" t="s">
        <v>165</v>
      </c>
      <c r="N67" t="s">
        <v>153</v>
      </c>
      <c r="O67" t="s">
        <v>181</v>
      </c>
      <c r="P67" t="s">
        <v>143</v>
      </c>
    </row>
    <row r="68" spans="1:16" x14ac:dyDescent="0.25">
      <c r="A68" s="2" t="s">
        <v>66</v>
      </c>
      <c r="B68" s="2" t="s">
        <v>119</v>
      </c>
      <c r="C68" s="13">
        <v>36</v>
      </c>
      <c r="D68" s="14">
        <v>135</v>
      </c>
      <c r="E68" s="15">
        <v>60.742881930000003</v>
      </c>
      <c r="F68" s="15"/>
      <c r="G68" s="15">
        <v>572.51969940000004</v>
      </c>
      <c r="H68" s="15"/>
      <c r="I68" s="15">
        <v>33.76544363</v>
      </c>
      <c r="J68" s="15">
        <v>114.4731429</v>
      </c>
      <c r="K68" s="15">
        <v>25.05146877</v>
      </c>
      <c r="L68" s="15">
        <v>25.0402132</v>
      </c>
      <c r="M68" s="15" t="s">
        <v>164</v>
      </c>
      <c r="N68" t="s">
        <v>153</v>
      </c>
      <c r="O68" t="s">
        <v>181</v>
      </c>
      <c r="P68" t="s">
        <v>143</v>
      </c>
    </row>
    <row r="69" spans="1:16" x14ac:dyDescent="0.25">
      <c r="A69" s="2" t="s">
        <v>67</v>
      </c>
      <c r="B69" s="2" t="s">
        <v>113</v>
      </c>
      <c r="C69" s="13">
        <v>41</v>
      </c>
      <c r="D69" s="14">
        <v>137</v>
      </c>
      <c r="E69" s="15">
        <v>499.5124098</v>
      </c>
      <c r="F69" s="15"/>
      <c r="G69" s="15">
        <v>287.07828540000003</v>
      </c>
      <c r="H69" s="15"/>
      <c r="I69" s="15">
        <v>217.9182725</v>
      </c>
      <c r="J69" s="15">
        <v>68.210467480000005</v>
      </c>
      <c r="K69" s="15">
        <v>31.208839399999999</v>
      </c>
      <c r="L69" s="15">
        <v>831.1652517</v>
      </c>
      <c r="M69" s="15" t="s">
        <v>165</v>
      </c>
      <c r="N69" t="s">
        <v>154</v>
      </c>
      <c r="O69" t="s">
        <v>149</v>
      </c>
      <c r="P69" t="s">
        <v>143</v>
      </c>
    </row>
    <row r="70" spans="1:16" x14ac:dyDescent="0.25">
      <c r="A70" s="2" t="s">
        <v>68</v>
      </c>
      <c r="B70" s="2" t="s">
        <v>122</v>
      </c>
      <c r="C70" s="13">
        <v>48</v>
      </c>
      <c r="D70" s="14">
        <v>139</v>
      </c>
      <c r="E70" s="15">
        <v>174.593842</v>
      </c>
      <c r="F70" s="15"/>
      <c r="G70" s="15">
        <v>52.882384799999997</v>
      </c>
      <c r="H70" s="15"/>
      <c r="I70" s="15">
        <v>58.028198510000003</v>
      </c>
      <c r="J70" s="15">
        <v>28.55181146</v>
      </c>
      <c r="K70" s="15">
        <v>22.6362399</v>
      </c>
      <c r="L70" s="15">
        <v>1308.175444</v>
      </c>
      <c r="M70" s="15" t="s">
        <v>165</v>
      </c>
      <c r="N70" t="s">
        <v>153</v>
      </c>
      <c r="O70" t="s">
        <v>181</v>
      </c>
      <c r="P70" t="s">
        <v>143</v>
      </c>
    </row>
    <row r="71" spans="1:16" x14ac:dyDescent="0.25">
      <c r="A71" s="2" t="s">
        <v>69</v>
      </c>
      <c r="B71" s="2" t="s">
        <v>118</v>
      </c>
      <c r="C71" s="13">
        <v>35</v>
      </c>
      <c r="D71" s="14">
        <v>141</v>
      </c>
      <c r="E71" s="15">
        <v>338.26216820000002</v>
      </c>
      <c r="F71" s="15"/>
      <c r="G71" s="15">
        <v>202.98126959999999</v>
      </c>
      <c r="H71" s="15"/>
      <c r="I71" s="15">
        <v>41.629996820000002</v>
      </c>
      <c r="J71" s="15">
        <v>84.697849239999996</v>
      </c>
      <c r="K71" s="15">
        <v>36.719989859999998</v>
      </c>
      <c r="L71" s="15">
        <v>380.54698519999999</v>
      </c>
      <c r="M71" s="15" t="s">
        <v>165</v>
      </c>
      <c r="N71" t="s">
        <v>153</v>
      </c>
      <c r="O71" t="s">
        <v>181</v>
      </c>
      <c r="P71" t="s">
        <v>143</v>
      </c>
    </row>
    <row r="72" spans="1:16" x14ac:dyDescent="0.25">
      <c r="A72" s="2" t="s">
        <v>70</v>
      </c>
      <c r="B72" s="2" t="s">
        <v>121</v>
      </c>
      <c r="C72" s="13">
        <v>30</v>
      </c>
      <c r="D72" s="14">
        <v>143</v>
      </c>
      <c r="E72" s="15">
        <v>1357.8785210000001</v>
      </c>
      <c r="F72" s="15"/>
      <c r="G72" s="15">
        <v>301.01236340000003</v>
      </c>
      <c r="H72" s="15"/>
      <c r="I72" s="15">
        <v>106.006344</v>
      </c>
      <c r="J72" s="15">
        <v>130.12198409999999</v>
      </c>
      <c r="K72" s="15">
        <v>103.3644278</v>
      </c>
      <c r="L72" s="15">
        <v>338.05403799999999</v>
      </c>
      <c r="M72" s="15" t="s">
        <v>165</v>
      </c>
      <c r="N72" t="s">
        <v>153</v>
      </c>
      <c r="O72" t="s">
        <v>181</v>
      </c>
      <c r="P72" t="s">
        <v>143</v>
      </c>
    </row>
    <row r="73" spans="1:16" x14ac:dyDescent="0.25">
      <c r="A73" s="2" t="s">
        <v>71</v>
      </c>
      <c r="B73" s="2" t="s">
        <v>132</v>
      </c>
      <c r="C73" s="13">
        <v>31</v>
      </c>
      <c r="D73" s="14">
        <v>145</v>
      </c>
      <c r="E73" s="15">
        <v>38.669595350000002</v>
      </c>
      <c r="F73" s="15"/>
      <c r="G73" s="15">
        <v>5</v>
      </c>
      <c r="H73" s="15"/>
      <c r="I73" s="15">
        <v>5</v>
      </c>
      <c r="J73" s="15">
        <v>5</v>
      </c>
      <c r="K73" s="15">
        <v>5</v>
      </c>
      <c r="L73" s="15">
        <v>81.455176030000004</v>
      </c>
      <c r="M73" s="15" t="s">
        <v>164</v>
      </c>
      <c r="N73" t="s">
        <v>154</v>
      </c>
      <c r="O73" t="s">
        <v>181</v>
      </c>
      <c r="P73" t="s">
        <v>143</v>
      </c>
    </row>
    <row r="74" spans="1:16" x14ac:dyDescent="0.25">
      <c r="A74" s="2" t="s">
        <v>72</v>
      </c>
      <c r="B74" s="2" t="s">
        <v>112</v>
      </c>
      <c r="C74" s="13">
        <v>48</v>
      </c>
      <c r="D74" s="14">
        <v>147</v>
      </c>
      <c r="E74" s="15">
        <v>683.29371309999999</v>
      </c>
      <c r="F74" s="15"/>
      <c r="G74" s="15">
        <v>82.495791909999994</v>
      </c>
      <c r="H74" s="15"/>
      <c r="I74" s="15">
        <v>80.474897650000003</v>
      </c>
      <c r="J74" s="15">
        <v>66.819684580000001</v>
      </c>
      <c r="K74" s="15">
        <v>22.260289190000002</v>
      </c>
      <c r="L74" s="15">
        <v>4962.4484979999997</v>
      </c>
      <c r="M74" s="15" t="s">
        <v>165</v>
      </c>
      <c r="N74" t="s">
        <v>153</v>
      </c>
      <c r="O74" t="s">
        <v>181</v>
      </c>
      <c r="P74" t="s">
        <v>143</v>
      </c>
    </row>
    <row r="75" spans="1:16" x14ac:dyDescent="0.25">
      <c r="A75" s="2" t="s">
        <v>73</v>
      </c>
      <c r="B75" s="2" t="s">
        <v>115</v>
      </c>
      <c r="C75" s="13">
        <v>44</v>
      </c>
      <c r="D75" s="14">
        <v>149</v>
      </c>
      <c r="E75" s="15">
        <v>370.28084869999998</v>
      </c>
      <c r="F75" s="15"/>
      <c r="G75" s="15">
        <v>146.83046189999999</v>
      </c>
      <c r="H75" s="15"/>
      <c r="I75" s="15">
        <v>142.25027040000001</v>
      </c>
      <c r="J75" s="15">
        <v>72.857931609999994</v>
      </c>
      <c r="K75" s="15">
        <v>50.268696230000003</v>
      </c>
      <c r="L75" s="15">
        <v>1941.6471750000001</v>
      </c>
      <c r="M75" s="15" t="s">
        <v>165</v>
      </c>
      <c r="N75" t="s">
        <v>153</v>
      </c>
      <c r="O75" t="s">
        <v>181</v>
      </c>
      <c r="P75" t="s">
        <v>143</v>
      </c>
    </row>
    <row r="76" spans="1:16" x14ac:dyDescent="0.25">
      <c r="A76" s="2" t="s">
        <v>74</v>
      </c>
      <c r="B76" s="2" t="s">
        <v>136</v>
      </c>
      <c r="C76" s="13">
        <v>40</v>
      </c>
      <c r="D76" s="14">
        <v>151</v>
      </c>
      <c r="E76" s="15">
        <v>13.991876899999999</v>
      </c>
      <c r="F76" s="15"/>
      <c r="G76" s="15">
        <v>5</v>
      </c>
      <c r="H76" s="15"/>
      <c r="I76" s="15">
        <v>5</v>
      </c>
      <c r="J76" s="15">
        <v>5</v>
      </c>
      <c r="K76" s="15">
        <v>5</v>
      </c>
      <c r="L76" s="15">
        <v>27.24895296</v>
      </c>
      <c r="M76" s="15" t="s">
        <v>164</v>
      </c>
      <c r="N76" t="s">
        <v>153</v>
      </c>
      <c r="O76" t="s">
        <v>181</v>
      </c>
      <c r="P76" t="s">
        <v>143</v>
      </c>
    </row>
    <row r="77" spans="1:16" x14ac:dyDescent="0.25">
      <c r="A77" s="2" t="s">
        <v>75</v>
      </c>
      <c r="B77" s="2" t="s">
        <v>132</v>
      </c>
      <c r="C77" s="13">
        <v>32</v>
      </c>
      <c r="D77" s="14">
        <v>153</v>
      </c>
      <c r="E77" s="15">
        <v>5</v>
      </c>
      <c r="F77" s="15"/>
      <c r="G77" s="15">
        <v>5</v>
      </c>
      <c r="H77" s="15"/>
      <c r="I77" s="15">
        <v>5</v>
      </c>
      <c r="J77" s="15">
        <v>5</v>
      </c>
      <c r="K77" s="15">
        <v>5</v>
      </c>
      <c r="L77" s="15">
        <v>373.6189445</v>
      </c>
      <c r="M77" s="15" t="s">
        <v>165</v>
      </c>
      <c r="N77" t="s">
        <v>154</v>
      </c>
      <c r="O77" t="s">
        <v>181</v>
      </c>
      <c r="P77" t="s">
        <v>143</v>
      </c>
    </row>
    <row r="78" spans="1:16" x14ac:dyDescent="0.25">
      <c r="A78" s="2" t="s">
        <v>76</v>
      </c>
      <c r="B78" s="2" t="s">
        <v>134</v>
      </c>
      <c r="C78" s="13">
        <v>27</v>
      </c>
      <c r="D78" s="14">
        <v>155</v>
      </c>
      <c r="E78" s="15">
        <v>325.34139690000001</v>
      </c>
      <c r="F78" s="15"/>
      <c r="G78" s="15">
        <v>165.59880179999999</v>
      </c>
      <c r="H78" s="15"/>
      <c r="I78" s="15">
        <v>106.21300549999999</v>
      </c>
      <c r="J78" s="15">
        <v>165.8362363</v>
      </c>
      <c r="K78" s="15">
        <v>231.7117849</v>
      </c>
      <c r="L78" s="15">
        <v>248.94150619999999</v>
      </c>
      <c r="M78" s="15" t="s">
        <v>164</v>
      </c>
      <c r="N78" t="s">
        <v>153</v>
      </c>
      <c r="O78" t="s">
        <v>181</v>
      </c>
      <c r="P78" t="s">
        <v>143</v>
      </c>
    </row>
    <row r="79" spans="1:16" x14ac:dyDescent="0.25">
      <c r="A79" s="2"/>
      <c r="B79" s="2"/>
      <c r="C79" s="13"/>
      <c r="D79" s="14"/>
      <c r="E79" s="15"/>
      <c r="F79" s="15"/>
      <c r="G79" s="15"/>
      <c r="H79" s="15"/>
      <c r="I79" s="15"/>
      <c r="J79" s="15"/>
      <c r="K79" s="15"/>
      <c r="L79" s="15"/>
      <c r="M79" s="15"/>
    </row>
    <row r="80" spans="1:16" x14ac:dyDescent="0.25">
      <c r="A80" s="2"/>
      <c r="B80" s="2"/>
      <c r="C80" s="10"/>
      <c r="D80" s="14"/>
      <c r="E80" s="15"/>
      <c r="F80" s="15"/>
      <c r="G80" s="15"/>
      <c r="H80" s="15"/>
      <c r="I80" s="15"/>
      <c r="J80" s="15"/>
      <c r="K80" s="15"/>
      <c r="L80" s="15"/>
      <c r="M80" s="15"/>
    </row>
    <row r="81" spans="1:13" x14ac:dyDescent="0.25">
      <c r="A81" s="2"/>
      <c r="B81" s="2"/>
      <c r="C81" s="13"/>
      <c r="D81" s="14"/>
      <c r="E81" s="15"/>
      <c r="F81" s="15"/>
      <c r="G81" s="15"/>
      <c r="H81" s="15"/>
      <c r="I81" s="15"/>
      <c r="J81" s="15"/>
      <c r="K81" s="15"/>
      <c r="L81" s="15"/>
      <c r="M81" s="15"/>
    </row>
    <row r="82" spans="1:13" x14ac:dyDescent="0.25">
      <c r="A82" s="2"/>
      <c r="B82" s="2"/>
      <c r="C82" s="13"/>
      <c r="D82" s="14"/>
      <c r="E82" s="15"/>
      <c r="F82" s="15"/>
      <c r="G82" s="15"/>
      <c r="H82" s="15"/>
      <c r="I82" s="15"/>
      <c r="J82" s="15"/>
      <c r="K82" s="15"/>
      <c r="L82" s="15"/>
      <c r="M82" s="15"/>
    </row>
    <row r="83" spans="1:13" x14ac:dyDescent="0.25">
      <c r="A83" s="2"/>
      <c r="B83" s="2"/>
      <c r="C83" s="13"/>
      <c r="D83" s="14"/>
      <c r="E83" s="15"/>
      <c r="F83" s="15"/>
      <c r="G83" s="15"/>
      <c r="H83" s="15"/>
      <c r="I83" s="15"/>
      <c r="J83" s="15"/>
      <c r="K83" s="15"/>
      <c r="L83" s="15"/>
      <c r="M83" s="15"/>
    </row>
    <row r="84" spans="1:13" x14ac:dyDescent="0.25">
      <c r="A84" s="2"/>
      <c r="B84" s="2"/>
      <c r="C84" s="13"/>
      <c r="D84" s="14"/>
      <c r="E84" s="15"/>
      <c r="F84" s="15"/>
      <c r="G84" s="15"/>
      <c r="H84" s="15"/>
      <c r="I84" s="15"/>
      <c r="J84" s="15"/>
      <c r="K84" s="15"/>
      <c r="L84" s="15"/>
      <c r="M84" s="15"/>
    </row>
    <row r="85" spans="1:13" x14ac:dyDescent="0.25">
      <c r="A85" s="2"/>
      <c r="B85" s="2"/>
      <c r="C85" s="13"/>
      <c r="D85" s="14"/>
      <c r="E85" s="15"/>
      <c r="F85" s="15"/>
      <c r="G85" s="15"/>
      <c r="H85" s="15"/>
      <c r="I85" s="15"/>
      <c r="J85" s="15"/>
      <c r="K85" s="15"/>
      <c r="L85" s="15"/>
      <c r="M85" s="15"/>
    </row>
    <row r="86" spans="1:13" x14ac:dyDescent="0.25">
      <c r="A86" s="2"/>
      <c r="B86" s="2"/>
      <c r="C86" s="13"/>
      <c r="D86" s="14"/>
      <c r="E86" s="15"/>
      <c r="F86" s="15"/>
      <c r="G86" s="15"/>
      <c r="H86" s="15"/>
      <c r="I86" s="15"/>
      <c r="J86" s="15"/>
      <c r="K86" s="15"/>
      <c r="L86" s="15"/>
      <c r="M86" s="15"/>
    </row>
    <row r="87" spans="1:13" x14ac:dyDescent="0.25">
      <c r="A87" s="2"/>
      <c r="B87" s="2"/>
      <c r="C87" s="13"/>
      <c r="D87" s="14"/>
      <c r="E87" s="15"/>
      <c r="F87" s="15"/>
      <c r="G87" s="15"/>
      <c r="H87" s="15"/>
      <c r="I87" s="15"/>
      <c r="J87" s="15"/>
      <c r="K87" s="15"/>
      <c r="L87" s="15"/>
      <c r="M87" s="15"/>
    </row>
    <row r="88" spans="1:13" x14ac:dyDescent="0.25">
      <c r="A88" s="2"/>
      <c r="B88" s="2"/>
      <c r="C88" s="13"/>
      <c r="D88" s="14"/>
      <c r="E88" s="15"/>
      <c r="F88" s="15"/>
      <c r="G88" s="15"/>
      <c r="H88" s="15"/>
      <c r="I88" s="15"/>
      <c r="J88" s="15"/>
      <c r="K88" s="15"/>
      <c r="L88" s="15"/>
      <c r="M88" s="15"/>
    </row>
    <row r="89" spans="1:13" x14ac:dyDescent="0.25">
      <c r="A89" s="2"/>
      <c r="B89" s="2"/>
      <c r="C89" s="13"/>
      <c r="D89" s="14"/>
      <c r="E89" s="15"/>
      <c r="F89" s="15"/>
      <c r="G89" s="15"/>
      <c r="H89" s="15"/>
      <c r="I89" s="15"/>
      <c r="J89" s="15"/>
      <c r="K89" s="15"/>
      <c r="L89" s="15"/>
      <c r="M89" s="15"/>
    </row>
    <row r="90" spans="1:13" x14ac:dyDescent="0.25">
      <c r="A90" s="2"/>
      <c r="B90" s="2"/>
      <c r="C90" s="13"/>
      <c r="D90" s="14"/>
      <c r="E90" s="15"/>
      <c r="F90" s="15"/>
      <c r="G90" s="15"/>
      <c r="H90" s="15"/>
      <c r="I90" s="15"/>
      <c r="J90" s="15"/>
      <c r="K90" s="15"/>
      <c r="L90" s="15"/>
      <c r="M90" s="15"/>
    </row>
    <row r="91" spans="1:13" x14ac:dyDescent="0.25">
      <c r="A91" s="2"/>
      <c r="B91" s="2"/>
      <c r="C91" s="13"/>
      <c r="D91" s="14"/>
      <c r="E91" s="15"/>
      <c r="F91" s="15"/>
      <c r="G91" s="15"/>
      <c r="H91" s="15"/>
      <c r="I91" s="15"/>
      <c r="J91" s="15"/>
      <c r="K91" s="15"/>
      <c r="L91" s="15"/>
      <c r="M91" s="15"/>
    </row>
    <row r="92" spans="1:13" x14ac:dyDescent="0.25">
      <c r="A92" s="2"/>
      <c r="B92" s="2"/>
      <c r="C92" s="13"/>
      <c r="D92" s="14"/>
      <c r="E92" s="15"/>
      <c r="F92" s="15"/>
      <c r="G92" s="15"/>
      <c r="H92" s="15"/>
      <c r="I92" s="15"/>
      <c r="J92" s="15"/>
      <c r="K92" s="15"/>
      <c r="L92" s="15"/>
      <c r="M92" s="15"/>
    </row>
    <row r="93" spans="1:13" x14ac:dyDescent="0.25">
      <c r="A93" s="2"/>
      <c r="B93" s="2"/>
      <c r="C93" s="13"/>
      <c r="D93" s="14"/>
      <c r="E93" s="15"/>
      <c r="F93" s="15"/>
      <c r="G93" s="15"/>
      <c r="H93" s="15"/>
      <c r="I93" s="15"/>
      <c r="J93" s="15"/>
      <c r="K93" s="15"/>
      <c r="L93" s="15"/>
      <c r="M93" s="15"/>
    </row>
    <row r="94" spans="1:13" x14ac:dyDescent="0.25">
      <c r="A94" s="2"/>
      <c r="B94" s="2"/>
      <c r="C94" s="13"/>
      <c r="D94" s="14"/>
      <c r="E94" s="15"/>
      <c r="F94" s="15"/>
      <c r="G94" s="15"/>
      <c r="H94" s="15"/>
      <c r="I94" s="15"/>
      <c r="J94" s="15"/>
      <c r="K94" s="15"/>
      <c r="L94" s="15"/>
      <c r="M94" s="15"/>
    </row>
    <row r="95" spans="1:13" x14ac:dyDescent="0.25">
      <c r="A95" s="2"/>
      <c r="B95" s="2"/>
      <c r="C95" s="13"/>
      <c r="D95" s="14"/>
      <c r="E95" s="15"/>
      <c r="F95" s="15"/>
      <c r="G95" s="15"/>
      <c r="H95" s="15"/>
      <c r="I95" s="15"/>
      <c r="J95" s="15"/>
      <c r="K95" s="15"/>
      <c r="L95" s="15"/>
      <c r="M95" s="15"/>
    </row>
    <row r="96" spans="1:13" x14ac:dyDescent="0.25">
      <c r="A96" s="2"/>
      <c r="B96" s="2"/>
      <c r="C96" s="13"/>
      <c r="D96" s="14"/>
      <c r="E96" s="15"/>
      <c r="F96" s="15"/>
      <c r="G96" s="15"/>
      <c r="H96" s="15"/>
      <c r="I96" s="15"/>
      <c r="J96" s="15"/>
      <c r="K96" s="15"/>
      <c r="L96" s="15"/>
      <c r="M96" s="15"/>
    </row>
    <row r="97" spans="1:13" x14ac:dyDescent="0.25">
      <c r="A97" s="2"/>
      <c r="B97" s="2"/>
      <c r="C97" s="13"/>
      <c r="D97" s="14"/>
      <c r="E97" s="15"/>
      <c r="F97" s="15"/>
      <c r="G97" s="15"/>
      <c r="H97" s="15"/>
      <c r="I97" s="15"/>
      <c r="J97" s="15"/>
      <c r="K97" s="15"/>
      <c r="L97" s="15"/>
      <c r="M97" s="15"/>
    </row>
    <row r="98" spans="1:13" x14ac:dyDescent="0.25">
      <c r="A98" s="2"/>
      <c r="B98" s="2"/>
      <c r="C98" s="13"/>
      <c r="D98" s="14"/>
      <c r="E98" s="15"/>
      <c r="F98" s="15"/>
      <c r="G98" s="15"/>
      <c r="H98" s="15"/>
      <c r="I98" s="15"/>
      <c r="J98" s="15"/>
      <c r="K98" s="15"/>
      <c r="L98" s="15"/>
      <c r="M98" s="15"/>
    </row>
    <row r="99" spans="1:13" x14ac:dyDescent="0.25">
      <c r="A99" s="2"/>
      <c r="B99" s="2"/>
      <c r="C99" s="13"/>
      <c r="D99" s="14"/>
      <c r="E99" s="15"/>
      <c r="F99" s="15"/>
      <c r="G99" s="15"/>
      <c r="H99" s="15"/>
      <c r="I99" s="15"/>
      <c r="J99" s="15"/>
      <c r="K99" s="15"/>
      <c r="L99" s="15"/>
      <c r="M99" s="15"/>
    </row>
    <row r="100" spans="1:13" x14ac:dyDescent="0.25">
      <c r="A100" s="2"/>
      <c r="B100" s="2"/>
      <c r="C100" s="13"/>
      <c r="D100" s="14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x14ac:dyDescent="0.25">
      <c r="A101" s="2"/>
      <c r="B101" s="2"/>
      <c r="C101" s="13"/>
      <c r="D101" s="14"/>
      <c r="E101" s="15"/>
      <c r="F101" s="15"/>
      <c r="G101" s="15"/>
      <c r="H101" s="15"/>
      <c r="I101" s="15"/>
      <c r="J101" s="15"/>
      <c r="K101" s="15"/>
      <c r="L101" s="15"/>
      <c r="M101" s="15"/>
    </row>
    <row r="102" spans="1:13" x14ac:dyDescent="0.25">
      <c r="A102" s="2"/>
      <c r="B102" s="2"/>
      <c r="C102" s="13"/>
      <c r="D102" s="14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x14ac:dyDescent="0.25">
      <c r="A103" s="2"/>
      <c r="B103" s="2"/>
      <c r="C103" s="13"/>
      <c r="D103" s="14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x14ac:dyDescent="0.25">
      <c r="A104" s="2"/>
      <c r="B104" s="2"/>
      <c r="C104" s="13"/>
      <c r="D104" s="14"/>
      <c r="E104" s="15"/>
      <c r="F104" s="15"/>
      <c r="G104" s="15"/>
      <c r="H104" s="15"/>
      <c r="I104" s="15"/>
      <c r="J104" s="15"/>
      <c r="K104" s="15"/>
      <c r="L104" s="15"/>
      <c r="M104" s="15"/>
    </row>
    <row r="105" spans="1:13" x14ac:dyDescent="0.25">
      <c r="A105" s="2"/>
      <c r="B105" s="2"/>
      <c r="C105" s="13"/>
      <c r="D105" s="14"/>
      <c r="E105" s="15"/>
      <c r="F105" s="15"/>
      <c r="G105" s="15"/>
      <c r="H105" s="15"/>
      <c r="I105" s="15"/>
      <c r="J105" s="15"/>
      <c r="K105" s="15"/>
      <c r="L105" s="15"/>
      <c r="M105" s="15"/>
    </row>
    <row r="106" spans="1:13" x14ac:dyDescent="0.25">
      <c r="A106" s="2"/>
      <c r="B106" s="2"/>
      <c r="C106" s="13"/>
      <c r="D106" s="14"/>
      <c r="E106" s="15"/>
      <c r="F106" s="15"/>
      <c r="G106" s="15"/>
      <c r="H106" s="15"/>
      <c r="I106" s="15"/>
      <c r="J106" s="15"/>
      <c r="K106" s="15"/>
      <c r="L106" s="15"/>
      <c r="M106" s="15"/>
    </row>
    <row r="107" spans="1:13" x14ac:dyDescent="0.25">
      <c r="A107" s="2"/>
      <c r="B107" s="2"/>
      <c r="C107" s="13"/>
      <c r="D107" s="14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x14ac:dyDescent="0.25">
      <c r="A108" s="2"/>
      <c r="B108" s="2"/>
      <c r="C108" s="13"/>
      <c r="D108" s="14"/>
      <c r="E108" s="15"/>
      <c r="F108" s="15"/>
      <c r="G108" s="15"/>
      <c r="H108" s="15"/>
      <c r="I108" s="15"/>
      <c r="J108" s="15"/>
      <c r="K108" s="15"/>
      <c r="L108" s="15"/>
      <c r="M108" s="15"/>
    </row>
    <row r="109" spans="1:13" x14ac:dyDescent="0.25">
      <c r="A109" s="2"/>
      <c r="B109" s="2"/>
      <c r="C109" s="13"/>
      <c r="D109" s="14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x14ac:dyDescent="0.25">
      <c r="A110" s="2"/>
      <c r="B110" s="2"/>
      <c r="C110" s="13"/>
      <c r="D110" s="14"/>
      <c r="E110" s="15"/>
      <c r="F110" s="15"/>
      <c r="G110" s="15"/>
      <c r="H110" s="15"/>
      <c r="I110" s="15"/>
      <c r="J110" s="15"/>
      <c r="K110" s="15"/>
      <c r="L110" s="15"/>
      <c r="M110" s="15"/>
    </row>
    <row r="111" spans="1:13" x14ac:dyDescent="0.25">
      <c r="A111" s="2"/>
      <c r="B111" s="2"/>
      <c r="C111" s="13"/>
      <c r="D111" s="14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x14ac:dyDescent="0.25">
      <c r="A112" s="2"/>
      <c r="B112" s="2"/>
      <c r="C112" s="13"/>
      <c r="D112" s="14"/>
      <c r="E112" s="15"/>
      <c r="F112" s="15"/>
      <c r="G112" s="15"/>
      <c r="H112" s="15"/>
      <c r="I112" s="15"/>
      <c r="J112" s="15"/>
      <c r="K112" s="15"/>
      <c r="L112" s="15"/>
      <c r="M112" s="15"/>
    </row>
    <row r="113" spans="1:13" x14ac:dyDescent="0.25">
      <c r="A113" s="2"/>
      <c r="B113" s="2"/>
      <c r="C113" s="13"/>
      <c r="D113" s="14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 x14ac:dyDescent="0.25">
      <c r="A114" s="2"/>
      <c r="B114" s="2"/>
      <c r="C114" s="13"/>
      <c r="D114" s="14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 x14ac:dyDescent="0.25">
      <c r="A115" s="2"/>
      <c r="B115" s="2"/>
      <c r="C115" s="13"/>
      <c r="D115" s="14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 x14ac:dyDescent="0.25">
      <c r="A116" s="2"/>
      <c r="B116" s="2"/>
      <c r="C116" s="13"/>
      <c r="D116" s="14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 x14ac:dyDescent="0.25">
      <c r="A117" s="2"/>
      <c r="B117" s="2"/>
      <c r="C117" s="13"/>
      <c r="D117" s="14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 x14ac:dyDescent="0.25">
      <c r="A118" s="2"/>
      <c r="B118" s="2"/>
      <c r="C118" s="13"/>
      <c r="D118" s="14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 x14ac:dyDescent="0.25">
      <c r="A119" s="2"/>
      <c r="B119" s="2"/>
      <c r="C119" s="13"/>
      <c r="D119" s="14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x14ac:dyDescent="0.25">
      <c r="A120" s="2"/>
      <c r="B120" s="2"/>
      <c r="C120" s="13"/>
      <c r="D120" s="14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 x14ac:dyDescent="0.25">
      <c r="A121" s="2"/>
      <c r="B121" s="2"/>
      <c r="C121" s="13"/>
      <c r="D121" s="14"/>
      <c r="E121" s="15"/>
      <c r="F121" s="15"/>
      <c r="G121" s="15"/>
      <c r="H121" s="15"/>
      <c r="I121" s="15"/>
      <c r="J121" s="15"/>
      <c r="K121" s="15"/>
      <c r="L121" s="15"/>
      <c r="M121" s="15"/>
    </row>
    <row r="122" spans="1:13" x14ac:dyDescent="0.25">
      <c r="A122" s="2"/>
      <c r="B122" s="2"/>
      <c r="C122" s="13"/>
      <c r="D122" s="14"/>
      <c r="E122" s="15"/>
      <c r="F122" s="15"/>
      <c r="G122" s="15"/>
      <c r="H122" s="15"/>
      <c r="I122" s="15"/>
      <c r="J122" s="15"/>
      <c r="K122" s="15"/>
      <c r="L122" s="15"/>
      <c r="M122" s="15"/>
    </row>
    <row r="123" spans="1:13" x14ac:dyDescent="0.25">
      <c r="A123" s="2"/>
      <c r="B123" s="2"/>
      <c r="C123" s="13"/>
      <c r="D123" s="14"/>
      <c r="E123" s="15"/>
      <c r="F123" s="15"/>
      <c r="G123" s="15"/>
      <c r="H123" s="15"/>
      <c r="I123" s="15"/>
      <c r="J123" s="15"/>
      <c r="K123" s="15"/>
      <c r="L123" s="15"/>
      <c r="M123" s="15"/>
    </row>
    <row r="124" spans="1:13" x14ac:dyDescent="0.25">
      <c r="A124" s="2"/>
      <c r="B124" s="2"/>
      <c r="C124" s="13"/>
      <c r="D124" s="14"/>
      <c r="E124" s="15"/>
      <c r="F124" s="15"/>
      <c r="G124" s="15"/>
      <c r="H124" s="15"/>
      <c r="I124" s="15"/>
      <c r="J124" s="15"/>
      <c r="K124" s="15"/>
      <c r="L124" s="15"/>
      <c r="M124" s="15"/>
    </row>
    <row r="125" spans="1:13" x14ac:dyDescent="0.25">
      <c r="A125" s="2"/>
      <c r="B125" s="2"/>
      <c r="C125" s="13"/>
      <c r="D125" s="14"/>
      <c r="E125" s="15"/>
      <c r="F125" s="15"/>
      <c r="G125" s="15"/>
      <c r="H125" s="15"/>
      <c r="I125" s="15"/>
      <c r="J125" s="15"/>
      <c r="K125" s="15"/>
      <c r="L125" s="15"/>
      <c r="M125" s="15"/>
    </row>
    <row r="126" spans="1:13" x14ac:dyDescent="0.25">
      <c r="A126" s="2"/>
      <c r="B126" s="2"/>
      <c r="C126" s="13"/>
      <c r="D126" s="14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x14ac:dyDescent="0.25">
      <c r="A127" s="2"/>
      <c r="B127" s="2"/>
      <c r="C127" s="13"/>
      <c r="D127" s="14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1:13" x14ac:dyDescent="0.25">
      <c r="A128" s="2"/>
      <c r="B128" s="2"/>
      <c r="C128" s="13"/>
      <c r="D128" s="14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x14ac:dyDescent="0.25">
      <c r="A129" s="2"/>
      <c r="B129" s="2"/>
      <c r="C129" s="13"/>
      <c r="D129" s="14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3" x14ac:dyDescent="0.25">
      <c r="A130" s="2"/>
      <c r="B130" s="2"/>
      <c r="C130" s="13"/>
      <c r="D130" s="14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1:13" x14ac:dyDescent="0.25">
      <c r="A131" s="2"/>
      <c r="B131" s="2"/>
      <c r="C131" s="13"/>
      <c r="D131" s="14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 x14ac:dyDescent="0.25">
      <c r="A132" s="2"/>
      <c r="B132" s="2"/>
      <c r="C132" s="13"/>
      <c r="D132" s="14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 x14ac:dyDescent="0.25">
      <c r="A133" s="2"/>
      <c r="B133" s="2"/>
      <c r="C133" s="13"/>
      <c r="D133" s="14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1:13" x14ac:dyDescent="0.25">
      <c r="A134" s="2"/>
      <c r="B134" s="2"/>
      <c r="C134" s="13"/>
      <c r="D134" s="14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1:13" x14ac:dyDescent="0.25">
      <c r="A135" s="2"/>
      <c r="B135" s="2"/>
      <c r="C135" s="13"/>
      <c r="D135" s="14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1:13" x14ac:dyDescent="0.25">
      <c r="A136" s="2"/>
      <c r="B136" s="2"/>
      <c r="C136" s="13"/>
      <c r="D136" s="14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1:13" x14ac:dyDescent="0.25">
      <c r="A137" s="2"/>
      <c r="B137" s="2"/>
      <c r="C137" s="13"/>
      <c r="D137" s="14"/>
      <c r="E137" s="15"/>
      <c r="F137" s="15"/>
      <c r="G137" s="15"/>
      <c r="H137" s="15"/>
      <c r="I137" s="15"/>
      <c r="J137" s="15"/>
      <c r="K137" s="15"/>
      <c r="L137" s="15"/>
      <c r="M137" s="15"/>
    </row>
    <row r="138" spans="1:13" x14ac:dyDescent="0.25">
      <c r="A138" s="2"/>
      <c r="B138" s="2"/>
      <c r="C138" s="13"/>
      <c r="D138" s="14"/>
      <c r="E138" s="15"/>
      <c r="F138" s="15"/>
      <c r="G138" s="15"/>
      <c r="H138" s="15"/>
      <c r="I138" s="15"/>
      <c r="J138" s="15"/>
      <c r="K138" s="15"/>
      <c r="L138" s="15"/>
      <c r="M138" s="15"/>
    </row>
    <row r="139" spans="1:13" x14ac:dyDescent="0.25">
      <c r="A139" s="2"/>
      <c r="B139" s="2"/>
      <c r="C139" s="13"/>
      <c r="D139" s="14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x14ac:dyDescent="0.25">
      <c r="A140" s="2"/>
      <c r="B140" s="2"/>
      <c r="C140" s="13"/>
      <c r="D140" s="14"/>
      <c r="E140" s="15"/>
      <c r="F140" s="15"/>
      <c r="G140" s="15"/>
      <c r="H140" s="15"/>
      <c r="I140" s="15"/>
      <c r="J140" s="15"/>
      <c r="K140" s="15"/>
      <c r="L140" s="15"/>
      <c r="M140" s="15"/>
    </row>
    <row r="141" spans="1:13" x14ac:dyDescent="0.25">
      <c r="A141" s="2"/>
      <c r="B141" s="2"/>
      <c r="C141" s="13"/>
      <c r="D141" s="14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x14ac:dyDescent="0.25">
      <c r="A142" s="2"/>
      <c r="B142" s="2"/>
      <c r="C142" s="13"/>
      <c r="D142" s="14"/>
      <c r="E142" s="15"/>
      <c r="F142" s="15"/>
      <c r="G142" s="15"/>
      <c r="H142" s="15"/>
      <c r="I142" s="15"/>
      <c r="J142" s="15"/>
      <c r="K142" s="15"/>
      <c r="L142" s="15"/>
      <c r="M142" s="15"/>
    </row>
    <row r="143" spans="1:13" x14ac:dyDescent="0.25">
      <c r="A143" s="2"/>
      <c r="B143" s="2"/>
      <c r="C143" s="13"/>
      <c r="D143" s="14"/>
      <c r="E143" s="15"/>
      <c r="F143" s="15"/>
      <c r="G143" s="15"/>
      <c r="H143" s="15"/>
      <c r="I143" s="15"/>
      <c r="J143" s="15"/>
      <c r="K143" s="15"/>
      <c r="L143" s="15"/>
      <c r="M143" s="15"/>
    </row>
    <row r="144" spans="1:13" x14ac:dyDescent="0.25">
      <c r="A144" s="2"/>
      <c r="B144" s="2"/>
      <c r="C144" s="13"/>
      <c r="D144" s="14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1:13" x14ac:dyDescent="0.25">
      <c r="A145" s="2"/>
      <c r="B145" s="2"/>
      <c r="C145" s="13"/>
      <c r="D145" s="14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x14ac:dyDescent="0.25">
      <c r="A146" s="2"/>
      <c r="B146" s="2"/>
      <c r="C146" s="13"/>
      <c r="D146" s="14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1:13" x14ac:dyDescent="0.25">
      <c r="A147" s="2"/>
      <c r="B147" s="2"/>
      <c r="C147" s="13"/>
      <c r="D147" s="14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x14ac:dyDescent="0.25">
      <c r="A148" s="2"/>
      <c r="B148" s="2"/>
      <c r="C148" s="13"/>
      <c r="D148" s="14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1:13" x14ac:dyDescent="0.25">
      <c r="A149" s="2"/>
      <c r="B149" s="2"/>
      <c r="C149" s="13"/>
      <c r="D149" s="14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1:13" x14ac:dyDescent="0.25">
      <c r="A150" s="2"/>
      <c r="B150" s="2"/>
      <c r="C150" s="13"/>
      <c r="D150" s="14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x14ac:dyDescent="0.25">
      <c r="A151" s="2"/>
      <c r="B151" s="2"/>
      <c r="C151" s="13"/>
      <c r="D151" s="14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 x14ac:dyDescent="0.25">
      <c r="A152" s="2"/>
      <c r="B152" s="2"/>
      <c r="C152" s="13"/>
      <c r="D152" s="14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x14ac:dyDescent="0.25">
      <c r="A153" s="2"/>
      <c r="B153" s="2"/>
      <c r="C153" s="13"/>
      <c r="D153" s="14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1:13" x14ac:dyDescent="0.25">
      <c r="A154" s="2"/>
      <c r="B154" s="2"/>
      <c r="C154" s="13"/>
      <c r="D154" s="14"/>
      <c r="E154" s="15"/>
      <c r="F154" s="15"/>
      <c r="G154" s="15"/>
      <c r="H154" s="15"/>
      <c r="I154" s="15"/>
      <c r="J154" s="15"/>
      <c r="K154" s="15"/>
      <c r="L154" s="15"/>
      <c r="M154" s="15"/>
    </row>
    <row r="155" spans="1:13" x14ac:dyDescent="0.25">
      <c r="A155" s="2"/>
      <c r="B155" s="2"/>
      <c r="C155" s="13"/>
      <c r="D155" s="14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x14ac:dyDescent="0.25">
      <c r="A156" s="2"/>
      <c r="B156" s="2"/>
      <c r="C156" s="13"/>
      <c r="D156" s="14"/>
      <c r="E156" s="15"/>
      <c r="F156" s="15"/>
      <c r="G156" s="15"/>
      <c r="H156" s="15"/>
      <c r="I156" s="15"/>
      <c r="J156" s="15"/>
      <c r="K156" s="15"/>
      <c r="L156" s="15"/>
      <c r="M156" s="15"/>
    </row>
  </sheetData>
  <autoFilter ref="A1:P78" xr:uid="{765C0293-49AC-4D4D-A39D-24087ECDAA38}"/>
  <sortState xmlns:xlrd2="http://schemas.microsoft.com/office/spreadsheetml/2017/richdata2" ref="A2:P78">
    <sortCondition ref="A2:A78"/>
  </sortState>
  <conditionalFormatting sqref="E2:E156 G2:G156">
    <cfRule type="cellIs" dxfId="0" priority="2" operator="less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Tested-Included</vt:lpstr>
      <vt:lpstr>NOR-202 Data</vt:lpstr>
      <vt:lpstr>Sheet3</vt:lpstr>
      <vt:lpstr>NOR-215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Lindesmith, Lisa C</dc:creator>
  <cp:lastModifiedBy>Swanstrom, Jesica</cp:lastModifiedBy>
  <dcterms:created xsi:type="dcterms:W3CDTF">2025-12-10T14:21:33Z</dcterms:created>
  <dcterms:modified xsi:type="dcterms:W3CDTF">2026-04-14T16:26:46Z</dcterms:modified>
</cp:coreProperties>
</file>